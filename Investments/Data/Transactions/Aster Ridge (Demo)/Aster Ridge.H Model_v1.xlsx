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3197" documentId="6_{50EFAA99-1343-4D73-A921-79C0311C75AE}" xr6:coauthVersionLast="47" xr6:coauthVersionMax="47" xr10:uidLastSave="{6260363C-2A04-444F-A37D-31EE9EDB1354}"/>
  <bookViews>
    <workbookView xWindow="3510" yWindow="3510" windowWidth="21600" windowHeight="11295" xr2:uid="{6BD44C2E-7B0C-4AF3-9B5F-B62291BBB952}"/>
  </bookViews>
  <sheets>
    <sheet name="Notes" sheetId="6" r:id="rId1"/>
    <sheet name="Aster Ridge.H (Review)" sheetId="5" r:id="rId2"/>
    <sheet name="Census" sheetId="4" r:id="rId3"/>
    <sheet name="AR PnL Mapping" sheetId="3" r:id="rId4"/>
    <sheet name="AR Historical Financials" sheetId="2" r:id="rId5"/>
    <sheet name="AR Unformatted HF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99" i="5" l="1"/>
  <c r="T199" i="5"/>
  <c r="S199" i="5"/>
  <c r="S4" i="5"/>
  <c r="T4" i="5" s="1"/>
  <c r="R231" i="5"/>
  <c r="R229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6" i="5"/>
  <c r="R205" i="5"/>
  <c r="G199" i="5"/>
  <c r="H199" i="5" s="1"/>
  <c r="I199" i="5" s="1"/>
  <c r="J199" i="5" s="1"/>
  <c r="K199" i="5" s="1"/>
  <c r="L199" i="5" s="1"/>
  <c r="M199" i="5" s="1"/>
  <c r="N199" i="5" s="1"/>
  <c r="O199" i="5" s="1"/>
  <c r="P199" i="5" s="1"/>
  <c r="Q199" i="5" s="1"/>
  <c r="F7" i="5"/>
  <c r="G5" i="5"/>
  <c r="H5" i="5" s="1"/>
  <c r="B28" i="5"/>
  <c r="B29" i="5"/>
  <c r="B30" i="5"/>
  <c r="B32" i="5"/>
  <c r="B34" i="5"/>
  <c r="B35" i="5"/>
  <c r="B37" i="5"/>
  <c r="B39" i="5"/>
  <c r="B40" i="5"/>
  <c r="B41" i="5"/>
  <c r="B42" i="5"/>
  <c r="B44" i="5"/>
  <c r="B46" i="5"/>
  <c r="B48" i="5"/>
  <c r="B50" i="5"/>
  <c r="B51" i="5"/>
  <c r="B52" i="5"/>
  <c r="B53" i="5"/>
  <c r="B55" i="5"/>
  <c r="B57" i="5"/>
  <c r="B59" i="5"/>
  <c r="B61" i="5"/>
  <c r="B62" i="5"/>
  <c r="B63" i="5"/>
  <c r="B64" i="5"/>
  <c r="B66" i="5"/>
  <c r="B68" i="5"/>
  <c r="B69" i="5"/>
  <c r="B71" i="5"/>
  <c r="B73" i="5"/>
  <c r="B74" i="5"/>
  <c r="B75" i="5"/>
  <c r="B76" i="5"/>
  <c r="B78" i="5"/>
  <c r="B80" i="5"/>
  <c r="B81" i="5"/>
  <c r="B83" i="5"/>
  <c r="B85" i="5"/>
  <c r="B86" i="5"/>
  <c r="B88" i="5"/>
  <c r="B90" i="5"/>
  <c r="B91" i="5"/>
  <c r="B92" i="5"/>
  <c r="B93" i="5"/>
  <c r="B94" i="5"/>
  <c r="B96" i="5"/>
  <c r="B98" i="5"/>
  <c r="B99" i="5"/>
  <c r="B100" i="5"/>
  <c r="B102" i="5"/>
  <c r="B104" i="5"/>
  <c r="B105" i="5"/>
  <c r="B106" i="5"/>
  <c r="B108" i="5"/>
  <c r="B110" i="5"/>
  <c r="B112" i="5"/>
  <c r="P31" i="4"/>
  <c r="O31" i="4"/>
  <c r="N31" i="4"/>
  <c r="M31" i="4"/>
  <c r="L31" i="4"/>
  <c r="K31" i="4"/>
  <c r="J31" i="4"/>
  <c r="I31" i="4"/>
  <c r="H31" i="4"/>
  <c r="G31" i="4"/>
  <c r="F31" i="4"/>
  <c r="E31" i="4"/>
  <c r="P30" i="4"/>
  <c r="O30" i="4"/>
  <c r="N30" i="4"/>
  <c r="M30" i="4"/>
  <c r="L30" i="4"/>
  <c r="K30" i="4"/>
  <c r="J30" i="4"/>
  <c r="I30" i="4"/>
  <c r="H30" i="4"/>
  <c r="G30" i="4"/>
  <c r="F30" i="4"/>
  <c r="E30" i="4"/>
  <c r="P29" i="4"/>
  <c r="O29" i="4"/>
  <c r="N29" i="4"/>
  <c r="N32" i="4" s="1"/>
  <c r="M29" i="4"/>
  <c r="M32" i="4" s="1"/>
  <c r="L29" i="4"/>
  <c r="K29" i="4"/>
  <c r="J29" i="4"/>
  <c r="I29" i="4"/>
  <c r="H29" i="4"/>
  <c r="G29" i="4"/>
  <c r="F29" i="4"/>
  <c r="E29" i="4"/>
  <c r="P26" i="4"/>
  <c r="Q11" i="5" s="1"/>
  <c r="O26" i="4"/>
  <c r="P11" i="5" s="1"/>
  <c r="N26" i="4"/>
  <c r="O11" i="5" s="1"/>
  <c r="M26" i="4"/>
  <c r="N11" i="5" s="1"/>
  <c r="L26" i="4"/>
  <c r="M11" i="5" s="1"/>
  <c r="K26" i="4"/>
  <c r="L11" i="5" s="1"/>
  <c r="J26" i="4"/>
  <c r="K11" i="5" s="1"/>
  <c r="I26" i="4"/>
  <c r="J11" i="5" s="1"/>
  <c r="H26" i="4"/>
  <c r="I11" i="5" s="1"/>
  <c r="G26" i="4"/>
  <c r="H11" i="5" s="1"/>
  <c r="F26" i="4"/>
  <c r="G11" i="5" s="1"/>
  <c r="E26" i="4"/>
  <c r="F11" i="5" s="1"/>
  <c r="P25" i="4"/>
  <c r="Q10" i="5" s="1"/>
  <c r="O25" i="4"/>
  <c r="P10" i="5" s="1"/>
  <c r="N25" i="4"/>
  <c r="O10" i="5" s="1"/>
  <c r="M25" i="4"/>
  <c r="N10" i="5" s="1"/>
  <c r="L25" i="4"/>
  <c r="M10" i="5" s="1"/>
  <c r="K25" i="4"/>
  <c r="L10" i="5" s="1"/>
  <c r="J25" i="4"/>
  <c r="K10" i="5" s="1"/>
  <c r="I25" i="4"/>
  <c r="J10" i="5" s="1"/>
  <c r="H25" i="4"/>
  <c r="I10" i="5" s="1"/>
  <c r="G25" i="4"/>
  <c r="H10" i="5" s="1"/>
  <c r="F25" i="4"/>
  <c r="G10" i="5" s="1"/>
  <c r="E25" i="4"/>
  <c r="F10" i="5" s="1"/>
  <c r="P24" i="4"/>
  <c r="Q9" i="5" s="1"/>
  <c r="O24" i="4"/>
  <c r="O27" i="4" s="1"/>
  <c r="N24" i="4"/>
  <c r="M24" i="4"/>
  <c r="L24" i="4"/>
  <c r="L27" i="4" s="1"/>
  <c r="K24" i="4"/>
  <c r="K27" i="4" s="1"/>
  <c r="J24" i="4"/>
  <c r="J27" i="4" s="1"/>
  <c r="I24" i="4"/>
  <c r="I27" i="4" s="1"/>
  <c r="H24" i="4"/>
  <c r="I9" i="5" s="1"/>
  <c r="G24" i="4"/>
  <c r="H9" i="5" s="1"/>
  <c r="H12" i="5" s="1"/>
  <c r="H197" i="5" s="1"/>
  <c r="F24" i="4"/>
  <c r="G9" i="5" s="1"/>
  <c r="E24" i="4"/>
  <c r="F9" i="5" s="1"/>
  <c r="P22" i="4"/>
  <c r="O22" i="4"/>
  <c r="N22" i="4"/>
  <c r="M22" i="4"/>
  <c r="L22" i="4"/>
  <c r="K22" i="4"/>
  <c r="J22" i="4"/>
  <c r="I22" i="4"/>
  <c r="H22" i="4"/>
  <c r="G22" i="4"/>
  <c r="F22" i="4"/>
  <c r="E22" i="4"/>
  <c r="E32" i="4" l="1"/>
  <c r="P36" i="4"/>
  <c r="Q21" i="5" s="1"/>
  <c r="Q16" i="5" s="1"/>
  <c r="K9" i="5"/>
  <c r="K12" i="5" s="1"/>
  <c r="K197" i="5" s="1"/>
  <c r="K230" i="5" s="1"/>
  <c r="I34" i="4"/>
  <c r="J19" i="5" s="1"/>
  <c r="I35" i="4"/>
  <c r="J20" i="5" s="1"/>
  <c r="J15" i="5" s="1"/>
  <c r="I36" i="4"/>
  <c r="J21" i="5" s="1"/>
  <c r="J16" i="5" s="1"/>
  <c r="J34" i="4"/>
  <c r="K19" i="5" s="1"/>
  <c r="K14" i="5" s="1"/>
  <c r="J35" i="4"/>
  <c r="K20" i="5" s="1"/>
  <c r="K15" i="5" s="1"/>
  <c r="J36" i="4"/>
  <c r="K21" i="5" s="1"/>
  <c r="K16" i="5" s="1"/>
  <c r="H34" i="4"/>
  <c r="I19" i="5" s="1"/>
  <c r="I14" i="5" s="1"/>
  <c r="K34" i="4"/>
  <c r="L19" i="5" s="1"/>
  <c r="K35" i="4"/>
  <c r="L20" i="5" s="1"/>
  <c r="K36" i="4"/>
  <c r="L21" i="5" s="1"/>
  <c r="L16" i="5" s="1"/>
  <c r="L34" i="4"/>
  <c r="M19" i="5" s="1"/>
  <c r="L35" i="4"/>
  <c r="M20" i="5" s="1"/>
  <c r="M15" i="5" s="1"/>
  <c r="L36" i="4"/>
  <c r="M21" i="5" s="1"/>
  <c r="M16" i="5" s="1"/>
  <c r="O9" i="5"/>
  <c r="O12" i="5" s="1"/>
  <c r="O197" i="5" s="1"/>
  <c r="O230" i="5" s="1"/>
  <c r="N27" i="4"/>
  <c r="N9" i="5"/>
  <c r="N12" i="5" s="1"/>
  <c r="N197" i="5" s="1"/>
  <c r="M27" i="4"/>
  <c r="E27" i="4"/>
  <c r="M35" i="4"/>
  <c r="N20" i="5" s="1"/>
  <c r="M36" i="4"/>
  <c r="N21" i="5" s="1"/>
  <c r="N35" i="4"/>
  <c r="O20" i="5" s="1"/>
  <c r="O15" i="5" s="1"/>
  <c r="N36" i="4"/>
  <c r="O21" i="5" s="1"/>
  <c r="O16" i="5" s="1"/>
  <c r="F12" i="5"/>
  <c r="F197" i="5" s="1"/>
  <c r="O34" i="4"/>
  <c r="P19" i="5" s="1"/>
  <c r="O35" i="4"/>
  <c r="P20" i="5" s="1"/>
  <c r="P15" i="5" s="1"/>
  <c r="P27" i="4"/>
  <c r="O36" i="4"/>
  <c r="P21" i="5" s="1"/>
  <c r="P16" i="5" s="1"/>
  <c r="H32" i="4"/>
  <c r="P32" i="4"/>
  <c r="P35" i="4"/>
  <c r="Q20" i="5" s="1"/>
  <c r="Q15" i="5" s="1"/>
  <c r="Q17" i="5" s="1"/>
  <c r="F34" i="4"/>
  <c r="G19" i="5" s="1"/>
  <c r="G14" i="5" s="1"/>
  <c r="F35" i="4"/>
  <c r="G20" i="5" s="1"/>
  <c r="G15" i="5" s="1"/>
  <c r="F36" i="4"/>
  <c r="G21" i="5" s="1"/>
  <c r="G16" i="5" s="1"/>
  <c r="M34" i="4"/>
  <c r="N19" i="5" s="1"/>
  <c r="G34" i="4"/>
  <c r="H19" i="5" s="1"/>
  <c r="G35" i="4"/>
  <c r="H20" i="5" s="1"/>
  <c r="G36" i="4"/>
  <c r="H21" i="5" s="1"/>
  <c r="H16" i="5" s="1"/>
  <c r="N34" i="4"/>
  <c r="O19" i="5" s="1"/>
  <c r="O14" i="5" s="1"/>
  <c r="Q12" i="5"/>
  <c r="Q197" i="5" s="1"/>
  <c r="P34" i="4"/>
  <c r="Q19" i="5" s="1"/>
  <c r="Q14" i="5" s="1"/>
  <c r="J9" i="5"/>
  <c r="J12" i="5" s="1"/>
  <c r="J197" i="5" s="1"/>
  <c r="J230" i="5" s="1"/>
  <c r="N15" i="5"/>
  <c r="N16" i="5"/>
  <c r="G12" i="5"/>
  <c r="G197" i="5" s="1"/>
  <c r="E35" i="4"/>
  <c r="F20" i="5" s="1"/>
  <c r="F15" i="5" s="1"/>
  <c r="H35" i="4"/>
  <c r="I20" i="5" s="1"/>
  <c r="I15" i="5" s="1"/>
  <c r="I12" i="5"/>
  <c r="I197" i="5" s="1"/>
  <c r="H14" i="5"/>
  <c r="H15" i="5"/>
  <c r="F230" i="5"/>
  <c r="E36" i="4"/>
  <c r="F21" i="5" s="1"/>
  <c r="F16" i="5" s="1"/>
  <c r="O184" i="5"/>
  <c r="O225" i="5" s="1"/>
  <c r="H36" i="4"/>
  <c r="I21" i="5" s="1"/>
  <c r="I16" i="5" s="1"/>
  <c r="I5" i="5"/>
  <c r="H7" i="5"/>
  <c r="H27" i="4"/>
  <c r="H230" i="5"/>
  <c r="E34" i="4"/>
  <c r="F19" i="5" s="1"/>
  <c r="F14" i="5" s="1"/>
  <c r="Q230" i="5"/>
  <c r="L15" i="5"/>
  <c r="F27" i="4"/>
  <c r="F32" i="4"/>
  <c r="L9" i="5"/>
  <c r="L12" i="5" s="1"/>
  <c r="L197" i="5" s="1"/>
  <c r="L118" i="5"/>
  <c r="L120" i="5"/>
  <c r="L122" i="5"/>
  <c r="L138" i="5"/>
  <c r="L139" i="5"/>
  <c r="L206" i="5" s="1"/>
  <c r="N142" i="5"/>
  <c r="P143" i="5"/>
  <c r="I145" i="5"/>
  <c r="M146" i="5"/>
  <c r="F148" i="5"/>
  <c r="M152" i="5"/>
  <c r="M154" i="5"/>
  <c r="M156" i="5"/>
  <c r="N174" i="5"/>
  <c r="N180" i="5"/>
  <c r="N222" i="5" s="1"/>
  <c r="N186" i="5"/>
  <c r="G27" i="4"/>
  <c r="G32" i="4"/>
  <c r="M9" i="5"/>
  <c r="M12" i="5" s="1"/>
  <c r="M197" i="5" s="1"/>
  <c r="M118" i="5"/>
  <c r="M120" i="5"/>
  <c r="M122" i="5"/>
  <c r="M138" i="5"/>
  <c r="M139" i="5"/>
  <c r="M206" i="5" s="1"/>
  <c r="O142" i="5"/>
  <c r="Q143" i="5"/>
  <c r="K145" i="5"/>
  <c r="N146" i="5"/>
  <c r="I148" i="5"/>
  <c r="N152" i="5"/>
  <c r="N154" i="5"/>
  <c r="N156" i="5"/>
  <c r="O174" i="5"/>
  <c r="O180" i="5"/>
  <c r="O222" i="5" s="1"/>
  <c r="P186" i="5"/>
  <c r="N118" i="5"/>
  <c r="N120" i="5"/>
  <c r="N122" i="5"/>
  <c r="N138" i="5"/>
  <c r="N139" i="5"/>
  <c r="N206" i="5" s="1"/>
  <c r="P142" i="5"/>
  <c r="F144" i="5"/>
  <c r="L145" i="5"/>
  <c r="O146" i="5"/>
  <c r="K148" i="5"/>
  <c r="F151" i="5"/>
  <c r="O152" i="5"/>
  <c r="O154" i="5"/>
  <c r="O156" i="5"/>
  <c r="P174" i="5"/>
  <c r="P180" i="5"/>
  <c r="P222" i="5" s="1"/>
  <c r="O118" i="5"/>
  <c r="O120" i="5"/>
  <c r="O122" i="5"/>
  <c r="O138" i="5"/>
  <c r="O205" i="5" s="1"/>
  <c r="O139" i="5"/>
  <c r="O206" i="5" s="1"/>
  <c r="Q142" i="5"/>
  <c r="I144" i="5"/>
  <c r="M145" i="5"/>
  <c r="P146" i="5"/>
  <c r="M148" i="5"/>
  <c r="I151" i="5"/>
  <c r="P152" i="5"/>
  <c r="P154" i="5"/>
  <c r="P156" i="5"/>
  <c r="M169" i="5"/>
  <c r="M172" i="5"/>
  <c r="M178" i="5"/>
  <c r="M220" i="5" s="1"/>
  <c r="M181" i="5"/>
  <c r="M223" i="5" s="1"/>
  <c r="M184" i="5"/>
  <c r="J32" i="4"/>
  <c r="P9" i="5"/>
  <c r="P12" i="5" s="1"/>
  <c r="P197" i="5" s="1"/>
  <c r="P118" i="5"/>
  <c r="P120" i="5"/>
  <c r="P122" i="5"/>
  <c r="P138" i="5"/>
  <c r="P139" i="5"/>
  <c r="P206" i="5" s="1"/>
  <c r="F143" i="5"/>
  <c r="K144" i="5"/>
  <c r="N145" i="5"/>
  <c r="F147" i="5"/>
  <c r="N148" i="5"/>
  <c r="K151" i="5"/>
  <c r="F153" i="5"/>
  <c r="F155" i="5"/>
  <c r="F162" i="5"/>
  <c r="F210" i="5" s="1"/>
  <c r="K164" i="5"/>
  <c r="N169" i="5"/>
  <c r="N172" i="5"/>
  <c r="N178" i="5"/>
  <c r="N220" i="5" s="1"/>
  <c r="N181" i="5"/>
  <c r="N223" i="5" s="1"/>
  <c r="N184" i="5"/>
  <c r="K32" i="4"/>
  <c r="Q118" i="5"/>
  <c r="Q120" i="5"/>
  <c r="Q122" i="5"/>
  <c r="Q138" i="5"/>
  <c r="Q205" i="5" s="1"/>
  <c r="Q139" i="5"/>
  <c r="Q206" i="5" s="1"/>
  <c r="I143" i="5"/>
  <c r="L144" i="5"/>
  <c r="O145" i="5"/>
  <c r="I147" i="5"/>
  <c r="O148" i="5"/>
  <c r="M151" i="5"/>
  <c r="K153" i="5"/>
  <c r="K155" i="5"/>
  <c r="K162" i="5"/>
  <c r="M164" i="5"/>
  <c r="O169" i="5"/>
  <c r="O172" i="5"/>
  <c r="O178" i="5"/>
  <c r="O220" i="5" s="1"/>
  <c r="O181" i="5"/>
  <c r="O223" i="5" s="1"/>
  <c r="I32" i="4"/>
  <c r="L32" i="4"/>
  <c r="Q186" i="5"/>
  <c r="O186" i="5"/>
  <c r="L186" i="5"/>
  <c r="L185" i="5"/>
  <c r="L227" i="5" s="1"/>
  <c r="L184" i="5"/>
  <c r="L181" i="5"/>
  <c r="L223" i="5" s="1"/>
  <c r="L180" i="5"/>
  <c r="L222" i="5" s="1"/>
  <c r="L179" i="5"/>
  <c r="L221" i="5" s="1"/>
  <c r="L178" i="5"/>
  <c r="L220" i="5" s="1"/>
  <c r="L176" i="5"/>
  <c r="L174" i="5"/>
  <c r="L173" i="5"/>
  <c r="L172" i="5"/>
  <c r="L170" i="5"/>
  <c r="L169" i="5"/>
  <c r="L164" i="5"/>
  <c r="L162" i="5"/>
  <c r="L156" i="5"/>
  <c r="L155" i="5"/>
  <c r="L154" i="5"/>
  <c r="L153" i="5"/>
  <c r="L152" i="5"/>
  <c r="L151" i="5"/>
  <c r="L148" i="5"/>
  <c r="K186" i="5"/>
  <c r="K185" i="5"/>
  <c r="K227" i="5" s="1"/>
  <c r="K184" i="5"/>
  <c r="K181" i="5"/>
  <c r="K223" i="5" s="1"/>
  <c r="K180" i="5"/>
  <c r="K222" i="5" s="1"/>
  <c r="K179" i="5"/>
  <c r="K221" i="5" s="1"/>
  <c r="K178" i="5"/>
  <c r="K220" i="5" s="1"/>
  <c r="K176" i="5"/>
  <c r="K174" i="5"/>
  <c r="K173" i="5"/>
  <c r="K172" i="5"/>
  <c r="K170" i="5"/>
  <c r="K169" i="5"/>
  <c r="J186" i="5"/>
  <c r="J185" i="5"/>
  <c r="J227" i="5" s="1"/>
  <c r="J184" i="5"/>
  <c r="J181" i="5"/>
  <c r="J223" i="5" s="1"/>
  <c r="J180" i="5"/>
  <c r="J222" i="5" s="1"/>
  <c r="J179" i="5"/>
  <c r="J221" i="5" s="1"/>
  <c r="J178" i="5"/>
  <c r="J220" i="5" s="1"/>
  <c r="J176" i="5"/>
  <c r="J174" i="5"/>
  <c r="J173" i="5"/>
  <c r="J172" i="5"/>
  <c r="J170" i="5"/>
  <c r="J169" i="5"/>
  <c r="J164" i="5"/>
  <c r="J162" i="5"/>
  <c r="J156" i="5"/>
  <c r="J155" i="5"/>
  <c r="J154" i="5"/>
  <c r="J153" i="5"/>
  <c r="J152" i="5"/>
  <c r="J151" i="5"/>
  <c r="J148" i="5"/>
  <c r="J147" i="5"/>
  <c r="J146" i="5"/>
  <c r="J145" i="5"/>
  <c r="J144" i="5"/>
  <c r="I186" i="5"/>
  <c r="I185" i="5"/>
  <c r="I227" i="5" s="1"/>
  <c r="I184" i="5"/>
  <c r="I181" i="5"/>
  <c r="I223" i="5" s="1"/>
  <c r="I180" i="5"/>
  <c r="I222" i="5" s="1"/>
  <c r="I179" i="5"/>
  <c r="I221" i="5" s="1"/>
  <c r="I178" i="5"/>
  <c r="I220" i="5" s="1"/>
  <c r="I176" i="5"/>
  <c r="I174" i="5"/>
  <c r="I173" i="5"/>
  <c r="I172" i="5"/>
  <c r="I170" i="5"/>
  <c r="I169" i="5"/>
  <c r="I164" i="5"/>
  <c r="I162" i="5"/>
  <c r="I156" i="5"/>
  <c r="I155" i="5"/>
  <c r="I154" i="5"/>
  <c r="I153" i="5"/>
  <c r="H186" i="5"/>
  <c r="H185" i="5"/>
  <c r="H227" i="5" s="1"/>
  <c r="H184" i="5"/>
  <c r="H225" i="5" s="1"/>
  <c r="H181" i="5"/>
  <c r="H223" i="5" s="1"/>
  <c r="H180" i="5"/>
  <c r="H222" i="5" s="1"/>
  <c r="H179" i="5"/>
  <c r="H221" i="5" s="1"/>
  <c r="H178" i="5"/>
  <c r="H220" i="5" s="1"/>
  <c r="H176" i="5"/>
  <c r="H174" i="5"/>
  <c r="H173" i="5"/>
  <c r="H172" i="5"/>
  <c r="H170" i="5"/>
  <c r="H169" i="5"/>
  <c r="H164" i="5"/>
  <c r="H162" i="5"/>
  <c r="H210" i="5" s="1"/>
  <c r="H156" i="5"/>
  <c r="H155" i="5"/>
  <c r="H154" i="5"/>
  <c r="H153" i="5"/>
  <c r="H152" i="5"/>
  <c r="H151" i="5"/>
  <c r="H148" i="5"/>
  <c r="H147" i="5"/>
  <c r="H146" i="5"/>
  <c r="H145" i="5"/>
  <c r="H144" i="5"/>
  <c r="H143" i="5"/>
  <c r="H142" i="5"/>
  <c r="G186" i="5"/>
  <c r="G185" i="5"/>
  <c r="G227" i="5" s="1"/>
  <c r="G184" i="5"/>
  <c r="G181" i="5"/>
  <c r="G223" i="5" s="1"/>
  <c r="G180" i="5"/>
  <c r="G222" i="5" s="1"/>
  <c r="G179" i="5"/>
  <c r="G221" i="5" s="1"/>
  <c r="G178" i="5"/>
  <c r="G220" i="5" s="1"/>
  <c r="G176" i="5"/>
  <c r="G174" i="5"/>
  <c r="G173" i="5"/>
  <c r="G172" i="5"/>
  <c r="G170" i="5"/>
  <c r="G169" i="5"/>
  <c r="G164" i="5"/>
  <c r="G162" i="5"/>
  <c r="G156" i="5"/>
  <c r="G155" i="5"/>
  <c r="G154" i="5"/>
  <c r="G153" i="5"/>
  <c r="G152" i="5"/>
  <c r="G151" i="5"/>
  <c r="G148" i="5"/>
  <c r="G147" i="5"/>
  <c r="G146" i="5"/>
  <c r="G145" i="5"/>
  <c r="G144" i="5"/>
  <c r="G143" i="5"/>
  <c r="G142" i="5"/>
  <c r="F186" i="5"/>
  <c r="F185" i="5"/>
  <c r="F227" i="5" s="1"/>
  <c r="F184" i="5"/>
  <c r="F225" i="5" s="1"/>
  <c r="F181" i="5"/>
  <c r="F223" i="5" s="1"/>
  <c r="F180" i="5"/>
  <c r="F222" i="5" s="1"/>
  <c r="F179" i="5"/>
  <c r="F221" i="5" s="1"/>
  <c r="F178" i="5"/>
  <c r="F220" i="5" s="1"/>
  <c r="F176" i="5"/>
  <c r="F174" i="5"/>
  <c r="F173" i="5"/>
  <c r="F172" i="5"/>
  <c r="F170" i="5"/>
  <c r="F169" i="5"/>
  <c r="F164" i="5"/>
  <c r="Q185" i="5"/>
  <c r="Q227" i="5" s="1"/>
  <c r="Q184" i="5"/>
  <c r="Q181" i="5"/>
  <c r="Q223" i="5" s="1"/>
  <c r="Q180" i="5"/>
  <c r="Q222" i="5" s="1"/>
  <c r="Q179" i="5"/>
  <c r="Q221" i="5" s="1"/>
  <c r="Q178" i="5"/>
  <c r="Q220" i="5" s="1"/>
  <c r="Q176" i="5"/>
  <c r="Q174" i="5"/>
  <c r="Q173" i="5"/>
  <c r="Q172" i="5"/>
  <c r="Q170" i="5"/>
  <c r="Q169" i="5"/>
  <c r="Q164" i="5"/>
  <c r="Q162" i="5"/>
  <c r="Q210" i="5" s="1"/>
  <c r="Q156" i="5"/>
  <c r="Q155" i="5"/>
  <c r="Q154" i="5"/>
  <c r="Q153" i="5"/>
  <c r="Q152" i="5"/>
  <c r="Q151" i="5"/>
  <c r="Q148" i="5"/>
  <c r="Q147" i="5"/>
  <c r="Q146" i="5"/>
  <c r="F118" i="5"/>
  <c r="F120" i="5"/>
  <c r="F122" i="5"/>
  <c r="F138" i="5"/>
  <c r="F205" i="5" s="1"/>
  <c r="F139" i="5"/>
  <c r="F206" i="5" s="1"/>
  <c r="F142" i="5"/>
  <c r="J143" i="5"/>
  <c r="M144" i="5"/>
  <c r="P145" i="5"/>
  <c r="K147" i="5"/>
  <c r="P148" i="5"/>
  <c r="N151" i="5"/>
  <c r="M153" i="5"/>
  <c r="M155" i="5"/>
  <c r="M162" i="5"/>
  <c r="N164" i="5"/>
  <c r="P169" i="5"/>
  <c r="P172" i="5"/>
  <c r="P178" i="5"/>
  <c r="P220" i="5" s="1"/>
  <c r="P181" i="5"/>
  <c r="P223" i="5" s="1"/>
  <c r="P184" i="5"/>
  <c r="G7" i="5"/>
  <c r="G118" i="5"/>
  <c r="G120" i="5"/>
  <c r="G122" i="5"/>
  <c r="G138" i="5"/>
  <c r="G139" i="5"/>
  <c r="G206" i="5" s="1"/>
  <c r="I142" i="5"/>
  <c r="K143" i="5"/>
  <c r="N144" i="5"/>
  <c r="Q145" i="5"/>
  <c r="L147" i="5"/>
  <c r="O151" i="5"/>
  <c r="N153" i="5"/>
  <c r="N155" i="5"/>
  <c r="N162" i="5"/>
  <c r="O164" i="5"/>
  <c r="M170" i="5"/>
  <c r="M173" i="5"/>
  <c r="M176" i="5"/>
  <c r="M179" i="5"/>
  <c r="M221" i="5" s="1"/>
  <c r="M185" i="5"/>
  <c r="M227" i="5" s="1"/>
  <c r="H118" i="5"/>
  <c r="H120" i="5"/>
  <c r="H122" i="5"/>
  <c r="H138" i="5"/>
  <c r="H205" i="5" s="1"/>
  <c r="H139" i="5"/>
  <c r="H206" i="5" s="1"/>
  <c r="J142" i="5"/>
  <c r="L143" i="5"/>
  <c r="O144" i="5"/>
  <c r="F146" i="5"/>
  <c r="M147" i="5"/>
  <c r="P151" i="5"/>
  <c r="O153" i="5"/>
  <c r="O155" i="5"/>
  <c r="O162" i="5"/>
  <c r="O210" i="5" s="1"/>
  <c r="P164" i="5"/>
  <c r="N170" i="5"/>
  <c r="N173" i="5"/>
  <c r="N176" i="5"/>
  <c r="N179" i="5"/>
  <c r="N221" i="5" s="1"/>
  <c r="N185" i="5"/>
  <c r="N227" i="5" s="1"/>
  <c r="O32" i="4"/>
  <c r="I118" i="5"/>
  <c r="I120" i="5"/>
  <c r="I122" i="5"/>
  <c r="I138" i="5"/>
  <c r="I139" i="5"/>
  <c r="I206" i="5" s="1"/>
  <c r="K142" i="5"/>
  <c r="M143" i="5"/>
  <c r="P144" i="5"/>
  <c r="I146" i="5"/>
  <c r="N147" i="5"/>
  <c r="F152" i="5"/>
  <c r="P153" i="5"/>
  <c r="P155" i="5"/>
  <c r="P162" i="5"/>
  <c r="O170" i="5"/>
  <c r="O173" i="5"/>
  <c r="O176" i="5"/>
  <c r="O179" i="5"/>
  <c r="O221" i="5" s="1"/>
  <c r="O185" i="5"/>
  <c r="O227" i="5" s="1"/>
  <c r="J118" i="5"/>
  <c r="J120" i="5"/>
  <c r="J122" i="5"/>
  <c r="J138" i="5"/>
  <c r="J139" i="5"/>
  <c r="J206" i="5" s="1"/>
  <c r="L142" i="5"/>
  <c r="N143" i="5"/>
  <c r="Q144" i="5"/>
  <c r="K146" i="5"/>
  <c r="O147" i="5"/>
  <c r="I152" i="5"/>
  <c r="F154" i="5"/>
  <c r="F156" i="5"/>
  <c r="P170" i="5"/>
  <c r="P173" i="5"/>
  <c r="P176" i="5"/>
  <c r="P179" i="5"/>
  <c r="P221" i="5" s="1"/>
  <c r="P185" i="5"/>
  <c r="P227" i="5" s="1"/>
  <c r="K118" i="5"/>
  <c r="K120" i="5"/>
  <c r="K122" i="5"/>
  <c r="K138" i="5"/>
  <c r="K139" i="5"/>
  <c r="K206" i="5" s="1"/>
  <c r="M142" i="5"/>
  <c r="O143" i="5"/>
  <c r="F145" i="5"/>
  <c r="L146" i="5"/>
  <c r="P147" i="5"/>
  <c r="K152" i="5"/>
  <c r="K154" i="5"/>
  <c r="K156" i="5"/>
  <c r="M174" i="5"/>
  <c r="M180" i="5"/>
  <c r="M222" i="5" s="1"/>
  <c r="M186" i="5"/>
  <c r="U4" i="5"/>
  <c r="A56" i="3"/>
  <c r="A55" i="3"/>
  <c r="A54" i="3"/>
  <c r="A52" i="3"/>
  <c r="A51" i="3"/>
  <c r="A50" i="3"/>
  <c r="A48" i="3"/>
  <c r="A47" i="3"/>
  <c r="A46" i="3"/>
  <c r="A45" i="3"/>
  <c r="A44" i="3"/>
  <c r="A42" i="3"/>
  <c r="A41" i="3"/>
  <c r="A39" i="3"/>
  <c r="A38" i="3"/>
  <c r="A36" i="3"/>
  <c r="A35" i="3"/>
  <c r="A34" i="3"/>
  <c r="A33" i="3"/>
  <c r="A31" i="3"/>
  <c r="A30" i="3"/>
  <c r="A28" i="3"/>
  <c r="A27" i="3"/>
  <c r="A26" i="3"/>
  <c r="A25" i="3"/>
  <c r="A23" i="3"/>
  <c r="A21" i="3"/>
  <c r="A20" i="3"/>
  <c r="A19" i="3"/>
  <c r="A18" i="3"/>
  <c r="A14" i="3"/>
  <c r="A13" i="3"/>
  <c r="A12" i="3"/>
  <c r="A11" i="3"/>
  <c r="A9" i="3"/>
  <c r="A8" i="3"/>
  <c r="A6" i="3"/>
  <c r="A5" i="3"/>
  <c r="A4" i="3"/>
  <c r="E88" i="2"/>
  <c r="F88" i="2"/>
  <c r="G88" i="2"/>
  <c r="H88" i="2"/>
  <c r="I88" i="2"/>
  <c r="J88" i="2"/>
  <c r="K88" i="2"/>
  <c r="L88" i="2"/>
  <c r="M88" i="2"/>
  <c r="N88" i="2"/>
  <c r="O88" i="2"/>
  <c r="P88" i="2"/>
  <c r="Q86" i="2"/>
  <c r="C86" i="2"/>
  <c r="Q85" i="2"/>
  <c r="C85" i="2"/>
  <c r="Q84" i="2"/>
  <c r="C84" i="2"/>
  <c r="E82" i="2"/>
  <c r="F82" i="2"/>
  <c r="G82" i="2"/>
  <c r="H82" i="2"/>
  <c r="I82" i="2"/>
  <c r="J82" i="2"/>
  <c r="K82" i="2"/>
  <c r="L82" i="2"/>
  <c r="M82" i="2"/>
  <c r="N82" i="2"/>
  <c r="O82" i="2"/>
  <c r="P82" i="2"/>
  <c r="Q80" i="2"/>
  <c r="Q82" i="2" s="1"/>
  <c r="C80" i="2"/>
  <c r="Q79" i="2"/>
  <c r="C79" i="2"/>
  <c r="Q78" i="2"/>
  <c r="C78" i="2"/>
  <c r="E76" i="2"/>
  <c r="F76" i="2"/>
  <c r="G76" i="2"/>
  <c r="H76" i="2"/>
  <c r="I76" i="2"/>
  <c r="J76" i="2"/>
  <c r="K76" i="2"/>
  <c r="L76" i="2"/>
  <c r="M76" i="2"/>
  <c r="N76" i="2"/>
  <c r="O76" i="2"/>
  <c r="P76" i="2"/>
  <c r="Q74" i="2"/>
  <c r="C74" i="2"/>
  <c r="Q73" i="2"/>
  <c r="C73" i="2"/>
  <c r="Q72" i="2"/>
  <c r="C72" i="2"/>
  <c r="Q71" i="2"/>
  <c r="C71" i="2"/>
  <c r="Q70" i="2"/>
  <c r="C70" i="2"/>
  <c r="E68" i="2"/>
  <c r="F68" i="2"/>
  <c r="G68" i="2"/>
  <c r="H68" i="2"/>
  <c r="I68" i="2"/>
  <c r="J68" i="2"/>
  <c r="K68" i="2"/>
  <c r="L68" i="2"/>
  <c r="M68" i="2"/>
  <c r="N68" i="2"/>
  <c r="O68" i="2"/>
  <c r="P68" i="2"/>
  <c r="Q66" i="2"/>
  <c r="C66" i="2"/>
  <c r="Q65" i="2"/>
  <c r="C65" i="2"/>
  <c r="E63" i="2"/>
  <c r="F63" i="2"/>
  <c r="G63" i="2"/>
  <c r="H63" i="2"/>
  <c r="I63" i="2"/>
  <c r="J63" i="2"/>
  <c r="K63" i="2"/>
  <c r="L63" i="2"/>
  <c r="M63" i="2"/>
  <c r="N63" i="2"/>
  <c r="O63" i="2"/>
  <c r="P63" i="2"/>
  <c r="Q61" i="2"/>
  <c r="C61" i="2"/>
  <c r="Q60" i="2"/>
  <c r="C60" i="2"/>
  <c r="E58" i="2"/>
  <c r="F58" i="2"/>
  <c r="G58" i="2"/>
  <c r="H58" i="2"/>
  <c r="I58" i="2"/>
  <c r="J58" i="2"/>
  <c r="K58" i="2"/>
  <c r="L58" i="2"/>
  <c r="M58" i="2"/>
  <c r="N58" i="2"/>
  <c r="O58" i="2"/>
  <c r="P58" i="2"/>
  <c r="Q56" i="2"/>
  <c r="C56" i="2"/>
  <c r="Q55" i="2"/>
  <c r="C55" i="2"/>
  <c r="Q54" i="2"/>
  <c r="C54" i="2"/>
  <c r="Q53" i="2"/>
  <c r="C53" i="2"/>
  <c r="E51" i="2"/>
  <c r="F51" i="2"/>
  <c r="G51" i="2"/>
  <c r="H51" i="2"/>
  <c r="I51" i="2"/>
  <c r="J51" i="2"/>
  <c r="K51" i="2"/>
  <c r="L51" i="2"/>
  <c r="M51" i="2"/>
  <c r="N51" i="2"/>
  <c r="O51" i="2"/>
  <c r="P51" i="2"/>
  <c r="Q49" i="2"/>
  <c r="C49" i="2"/>
  <c r="Q48" i="2"/>
  <c r="C48" i="2"/>
  <c r="E46" i="2"/>
  <c r="F46" i="2"/>
  <c r="G46" i="2"/>
  <c r="H46" i="2"/>
  <c r="I46" i="2"/>
  <c r="J46" i="2"/>
  <c r="K46" i="2"/>
  <c r="L46" i="2"/>
  <c r="M46" i="2"/>
  <c r="N46" i="2"/>
  <c r="O46" i="2"/>
  <c r="P46" i="2"/>
  <c r="Q44" i="2"/>
  <c r="C44" i="2"/>
  <c r="Q43" i="2"/>
  <c r="C43" i="2"/>
  <c r="Q42" i="2"/>
  <c r="C42" i="2"/>
  <c r="Q41" i="2"/>
  <c r="C41" i="2"/>
  <c r="E39" i="2"/>
  <c r="F39" i="2"/>
  <c r="G39" i="2"/>
  <c r="H39" i="2"/>
  <c r="I39" i="2"/>
  <c r="J39" i="2"/>
  <c r="K39" i="2"/>
  <c r="L39" i="2"/>
  <c r="M39" i="2"/>
  <c r="N39" i="2"/>
  <c r="O39" i="2"/>
  <c r="P39" i="2"/>
  <c r="Q37" i="2"/>
  <c r="Q39" i="2" s="1"/>
  <c r="C37" i="2"/>
  <c r="E35" i="2"/>
  <c r="F35" i="2"/>
  <c r="G35" i="2"/>
  <c r="H35" i="2"/>
  <c r="I35" i="2"/>
  <c r="J35" i="2"/>
  <c r="K35" i="2"/>
  <c r="L35" i="2"/>
  <c r="M35" i="2"/>
  <c r="N35" i="2"/>
  <c r="O35" i="2"/>
  <c r="P35" i="2"/>
  <c r="Q33" i="2"/>
  <c r="C33" i="2"/>
  <c r="Q32" i="2"/>
  <c r="C32" i="2"/>
  <c r="Q31" i="2"/>
  <c r="C31" i="2"/>
  <c r="Q30" i="2"/>
  <c r="C30" i="2"/>
  <c r="E24" i="2"/>
  <c r="F24" i="2"/>
  <c r="G24" i="2"/>
  <c r="H24" i="2"/>
  <c r="I24" i="2"/>
  <c r="J24" i="2"/>
  <c r="K24" i="2"/>
  <c r="L24" i="2"/>
  <c r="M24" i="2"/>
  <c r="N24" i="2"/>
  <c r="O24" i="2"/>
  <c r="P24" i="2"/>
  <c r="Q22" i="2"/>
  <c r="C22" i="2"/>
  <c r="Q21" i="2"/>
  <c r="C21" i="2"/>
  <c r="Q20" i="2"/>
  <c r="C20" i="2"/>
  <c r="Q19" i="2"/>
  <c r="C19" i="2"/>
  <c r="E17" i="2"/>
  <c r="F17" i="2"/>
  <c r="G17" i="2"/>
  <c r="H17" i="2"/>
  <c r="I17" i="2"/>
  <c r="J17" i="2"/>
  <c r="K17" i="2"/>
  <c r="L17" i="2"/>
  <c r="M17" i="2"/>
  <c r="N17" i="2"/>
  <c r="N26" i="2" s="1"/>
  <c r="O17" i="2"/>
  <c r="P17" i="2"/>
  <c r="Q15" i="2"/>
  <c r="C15" i="2"/>
  <c r="Q14" i="2"/>
  <c r="C14" i="2"/>
  <c r="E12" i="2"/>
  <c r="F12" i="2"/>
  <c r="G12" i="2"/>
  <c r="H12" i="2"/>
  <c r="I12" i="2"/>
  <c r="J12" i="2"/>
  <c r="J26" i="2" s="1"/>
  <c r="K12" i="2"/>
  <c r="L12" i="2"/>
  <c r="M12" i="2"/>
  <c r="N12" i="2"/>
  <c r="O12" i="2"/>
  <c r="P12" i="2"/>
  <c r="Q10" i="2"/>
  <c r="C10" i="2"/>
  <c r="Q9" i="2"/>
  <c r="C9" i="2"/>
  <c r="Q8" i="2"/>
  <c r="C8" i="2"/>
  <c r="K210" i="5" l="1"/>
  <c r="K205" i="5"/>
  <c r="K225" i="5"/>
  <c r="J14" i="5"/>
  <c r="J17" i="5" s="1"/>
  <c r="F26" i="2"/>
  <c r="E26" i="2"/>
  <c r="Q68" i="2"/>
  <c r="K17" i="5"/>
  <c r="K198" i="5" s="1"/>
  <c r="Q51" i="2"/>
  <c r="J205" i="5"/>
  <c r="P26" i="2"/>
  <c r="Q46" i="5" s="1"/>
  <c r="Q17" i="2"/>
  <c r="O17" i="5"/>
  <c r="O198" i="5" s="1"/>
  <c r="J210" i="5"/>
  <c r="J225" i="5"/>
  <c r="I17" i="5"/>
  <c r="I198" i="5" s="1"/>
  <c r="I26" i="2"/>
  <c r="J46" i="5" s="1"/>
  <c r="L26" i="2"/>
  <c r="Q12" i="2"/>
  <c r="H26" i="2"/>
  <c r="G26" i="2"/>
  <c r="H46" i="5" s="1"/>
  <c r="K22" i="5"/>
  <c r="O26" i="2"/>
  <c r="P46" i="5" s="1"/>
  <c r="Q225" i="5"/>
  <c r="G17" i="5"/>
  <c r="N28" i="5"/>
  <c r="N117" i="5" s="1"/>
  <c r="M29" i="5"/>
  <c r="M116" i="5" s="1"/>
  <c r="L30" i="5"/>
  <c r="L119" i="5" s="1"/>
  <c r="K32" i="5"/>
  <c r="J34" i="5"/>
  <c r="J124" i="5" s="1"/>
  <c r="I35" i="5"/>
  <c r="I125" i="5" s="1"/>
  <c r="H37" i="5"/>
  <c r="G39" i="5"/>
  <c r="G123" i="5" s="1"/>
  <c r="F40" i="5"/>
  <c r="F126" i="5" s="1"/>
  <c r="Q41" i="5"/>
  <c r="P42" i="5"/>
  <c r="O44" i="5"/>
  <c r="M48" i="5"/>
  <c r="L50" i="5"/>
  <c r="K51" i="5"/>
  <c r="J52" i="5"/>
  <c r="J161" i="5" s="1"/>
  <c r="I53" i="5"/>
  <c r="I160" i="5" s="1"/>
  <c r="I208" i="5" s="1"/>
  <c r="H55" i="5"/>
  <c r="G57" i="5"/>
  <c r="G132" i="5" s="1"/>
  <c r="F59" i="5"/>
  <c r="Q61" i="5"/>
  <c r="P62" i="5"/>
  <c r="O63" i="5"/>
  <c r="N64" i="5"/>
  <c r="N163" i="5" s="1"/>
  <c r="M66" i="5"/>
  <c r="L68" i="5"/>
  <c r="L134" i="5" s="1"/>
  <c r="K69" i="5"/>
  <c r="K165" i="5" s="1"/>
  <c r="K213" i="5" s="1"/>
  <c r="J71" i="5"/>
  <c r="I73" i="5"/>
  <c r="H74" i="5"/>
  <c r="G75" i="5"/>
  <c r="F76" i="5"/>
  <c r="Q78" i="5"/>
  <c r="P80" i="5"/>
  <c r="P135" i="5" s="1"/>
  <c r="O81" i="5"/>
  <c r="O167" i="5" s="1"/>
  <c r="O215" i="5" s="1"/>
  <c r="N83" i="5"/>
  <c r="M85" i="5"/>
  <c r="M136" i="5" s="1"/>
  <c r="L86" i="5"/>
  <c r="L168" i="5" s="1"/>
  <c r="L231" i="5" s="1"/>
  <c r="K88" i="5"/>
  <c r="J90" i="5"/>
  <c r="I91" i="5"/>
  <c r="H92" i="5"/>
  <c r="G93" i="5"/>
  <c r="G177" i="5" s="1"/>
  <c r="G219" i="5" s="1"/>
  <c r="F94" i="5"/>
  <c r="F171" i="5" s="1"/>
  <c r="F216" i="5" s="1"/>
  <c r="Q96" i="5"/>
  <c r="P98" i="5"/>
  <c r="P157" i="5" s="1"/>
  <c r="P202" i="5" s="1"/>
  <c r="O99" i="5"/>
  <c r="N100" i="5"/>
  <c r="N175" i="5" s="1"/>
  <c r="M102" i="5"/>
  <c r="L104" i="5"/>
  <c r="L183" i="5" s="1"/>
  <c r="L226" i="5" s="1"/>
  <c r="K105" i="5"/>
  <c r="K182" i="5" s="1"/>
  <c r="K224" i="5" s="1"/>
  <c r="J106" i="5"/>
  <c r="J190" i="5" s="1"/>
  <c r="I108" i="5"/>
  <c r="G32" i="5"/>
  <c r="H104" i="5"/>
  <c r="H183" i="5" s="1"/>
  <c r="H226" i="5" s="1"/>
  <c r="L63" i="5"/>
  <c r="L81" i="5"/>
  <c r="L167" i="5" s="1"/>
  <c r="L215" i="5" s="1"/>
  <c r="Q92" i="5"/>
  <c r="L99" i="5"/>
  <c r="G106" i="5"/>
  <c r="G190" i="5" s="1"/>
  <c r="I32" i="5"/>
  <c r="M44" i="5"/>
  <c r="F55" i="5"/>
  <c r="N62" i="5"/>
  <c r="I69" i="5"/>
  <c r="I165" i="5" s="1"/>
  <c r="O28" i="5"/>
  <c r="O117" i="5" s="1"/>
  <c r="N29" i="5"/>
  <c r="N116" i="5" s="1"/>
  <c r="M30" i="5"/>
  <c r="M119" i="5" s="1"/>
  <c r="L32" i="5"/>
  <c r="K34" i="5"/>
  <c r="K124" i="5" s="1"/>
  <c r="J35" i="5"/>
  <c r="J125" i="5" s="1"/>
  <c r="I37" i="5"/>
  <c r="H39" i="5"/>
  <c r="H123" i="5" s="1"/>
  <c r="G40" i="5"/>
  <c r="G126" i="5" s="1"/>
  <c r="F41" i="5"/>
  <c r="Q42" i="5"/>
  <c r="P44" i="5"/>
  <c r="O46" i="5"/>
  <c r="N48" i="5"/>
  <c r="M50" i="5"/>
  <c r="L51" i="5"/>
  <c r="K52" i="5"/>
  <c r="K161" i="5" s="1"/>
  <c r="J53" i="5"/>
  <c r="J160" i="5" s="1"/>
  <c r="J208" i="5" s="1"/>
  <c r="I55" i="5"/>
  <c r="H57" i="5"/>
  <c r="H132" i="5" s="1"/>
  <c r="G59" i="5"/>
  <c r="F61" i="5"/>
  <c r="Q62" i="5"/>
  <c r="P63" i="5"/>
  <c r="O64" i="5"/>
  <c r="O163" i="5" s="1"/>
  <c r="N66" i="5"/>
  <c r="M68" i="5"/>
  <c r="M134" i="5" s="1"/>
  <c r="L69" i="5"/>
  <c r="L165" i="5" s="1"/>
  <c r="L213" i="5" s="1"/>
  <c r="K71" i="5"/>
  <c r="J73" i="5"/>
  <c r="I74" i="5"/>
  <c r="H75" i="5"/>
  <c r="G76" i="5"/>
  <c r="F78" i="5"/>
  <c r="Q80" i="5"/>
  <c r="Q135" i="5" s="1"/>
  <c r="P81" i="5"/>
  <c r="P167" i="5" s="1"/>
  <c r="O83" i="5"/>
  <c r="N85" i="5"/>
  <c r="N136" i="5" s="1"/>
  <c r="M86" i="5"/>
  <c r="M168" i="5" s="1"/>
  <c r="M231" i="5" s="1"/>
  <c r="L88" i="5"/>
  <c r="K90" i="5"/>
  <c r="J91" i="5"/>
  <c r="I92" i="5"/>
  <c r="H93" i="5"/>
  <c r="H177" i="5" s="1"/>
  <c r="H219" i="5" s="1"/>
  <c r="G94" i="5"/>
  <c r="G171" i="5" s="1"/>
  <c r="G216" i="5" s="1"/>
  <c r="F96" i="5"/>
  <c r="Q98" i="5"/>
  <c r="P99" i="5"/>
  <c r="O100" i="5"/>
  <c r="O175" i="5" s="1"/>
  <c r="O217" i="5" s="1"/>
  <c r="N102" i="5"/>
  <c r="M104" i="5"/>
  <c r="M183" i="5" s="1"/>
  <c r="L105" i="5"/>
  <c r="L182" i="5" s="1"/>
  <c r="L224" i="5" s="1"/>
  <c r="K106" i="5"/>
  <c r="K190" i="5" s="1"/>
  <c r="J108" i="5"/>
  <c r="H30" i="5"/>
  <c r="H119" i="5" s="1"/>
  <c r="H50" i="5"/>
  <c r="N59" i="5"/>
  <c r="G69" i="5"/>
  <c r="G165" i="5" s="1"/>
  <c r="N76" i="5"/>
  <c r="H86" i="5"/>
  <c r="H168" i="5" s="1"/>
  <c r="H231" i="5" s="1"/>
  <c r="P92" i="5"/>
  <c r="K99" i="5"/>
  <c r="O40" i="5"/>
  <c r="O126" i="5" s="1"/>
  <c r="H69" i="5"/>
  <c r="H165" i="5" s="1"/>
  <c r="H213" i="5" s="1"/>
  <c r="M80" i="5"/>
  <c r="M135" i="5" s="1"/>
  <c r="G90" i="5"/>
  <c r="N96" i="5"/>
  <c r="I104" i="5"/>
  <c r="I183" i="5" s="1"/>
  <c r="I226" i="5" s="1"/>
  <c r="P59" i="5"/>
  <c r="G73" i="5"/>
  <c r="L83" i="5"/>
  <c r="P28" i="5"/>
  <c r="P117" i="5" s="1"/>
  <c r="O29" i="5"/>
  <c r="O116" i="5" s="1"/>
  <c r="N30" i="5"/>
  <c r="N119" i="5" s="1"/>
  <c r="M32" i="5"/>
  <c r="L34" i="5"/>
  <c r="L124" i="5" s="1"/>
  <c r="K35" i="5"/>
  <c r="K125" i="5" s="1"/>
  <c r="J37" i="5"/>
  <c r="I39" i="5"/>
  <c r="I123" i="5" s="1"/>
  <c r="H40" i="5"/>
  <c r="H126" i="5" s="1"/>
  <c r="G41" i="5"/>
  <c r="F42" i="5"/>
  <c r="Q44" i="5"/>
  <c r="O48" i="5"/>
  <c r="N50" i="5"/>
  <c r="M51" i="5"/>
  <c r="L52" i="5"/>
  <c r="L161" i="5" s="1"/>
  <c r="K53" i="5"/>
  <c r="K160" i="5" s="1"/>
  <c r="K208" i="5" s="1"/>
  <c r="J55" i="5"/>
  <c r="I57" i="5"/>
  <c r="I132" i="5" s="1"/>
  <c r="H59" i="5"/>
  <c r="G61" i="5"/>
  <c r="F62" i="5"/>
  <c r="Q63" i="5"/>
  <c r="P64" i="5"/>
  <c r="P163" i="5" s="1"/>
  <c r="O66" i="5"/>
  <c r="N68" i="5"/>
  <c r="N134" i="5" s="1"/>
  <c r="M69" i="5"/>
  <c r="M165" i="5" s="1"/>
  <c r="M213" i="5" s="1"/>
  <c r="L71" i="5"/>
  <c r="K73" i="5"/>
  <c r="J74" i="5"/>
  <c r="I75" i="5"/>
  <c r="H76" i="5"/>
  <c r="G78" i="5"/>
  <c r="F80" i="5"/>
  <c r="F135" i="5" s="1"/>
  <c r="Q81" i="5"/>
  <c r="Q167" i="5" s="1"/>
  <c r="Q215" i="5" s="1"/>
  <c r="P83" i="5"/>
  <c r="O85" i="5"/>
  <c r="O136" i="5" s="1"/>
  <c r="N86" i="5"/>
  <c r="N168" i="5" s="1"/>
  <c r="M88" i="5"/>
  <c r="L90" i="5"/>
  <c r="K91" i="5"/>
  <c r="J92" i="5"/>
  <c r="I93" i="5"/>
  <c r="I177" i="5" s="1"/>
  <c r="I219" i="5" s="1"/>
  <c r="H94" i="5"/>
  <c r="H171" i="5" s="1"/>
  <c r="H216" i="5" s="1"/>
  <c r="G96" i="5"/>
  <c r="F98" i="5"/>
  <c r="Q99" i="5"/>
  <c r="P100" i="5"/>
  <c r="P175" i="5" s="1"/>
  <c r="O102" i="5"/>
  <c r="N104" i="5"/>
  <c r="N183" i="5" s="1"/>
  <c r="M105" i="5"/>
  <c r="M182" i="5" s="1"/>
  <c r="M224" i="5" s="1"/>
  <c r="L106" i="5"/>
  <c r="L190" i="5" s="1"/>
  <c r="K108" i="5"/>
  <c r="P102" i="5"/>
  <c r="L108" i="5"/>
  <c r="F34" i="5"/>
  <c r="F124" i="5" s="1"/>
  <c r="Q53" i="5"/>
  <c r="Q160" i="5" s="1"/>
  <c r="Q208" i="5" s="1"/>
  <c r="I66" i="5"/>
  <c r="P74" i="5"/>
  <c r="J83" i="5"/>
  <c r="K28" i="5"/>
  <c r="K117" i="5" s="1"/>
  <c r="F35" i="5"/>
  <c r="F125" i="5" s="1"/>
  <c r="Q37" i="5"/>
  <c r="N41" i="5"/>
  <c r="K46" i="5"/>
  <c r="F53" i="5"/>
  <c r="F160" i="5" s="1"/>
  <c r="F208" i="5" s="1"/>
  <c r="O59" i="5"/>
  <c r="I68" i="5"/>
  <c r="I134" i="5" s="1"/>
  <c r="P75" i="5"/>
  <c r="J85" i="5"/>
  <c r="J136" i="5" s="1"/>
  <c r="L28" i="5"/>
  <c r="L117" i="5" s="1"/>
  <c r="G35" i="5"/>
  <c r="G125" i="5" s="1"/>
  <c r="M63" i="5"/>
  <c r="O78" i="5"/>
  <c r="Q28" i="5"/>
  <c r="Q117" i="5" s="1"/>
  <c r="P29" i="5"/>
  <c r="P116" i="5" s="1"/>
  <c r="O30" i="5"/>
  <c r="O119" i="5" s="1"/>
  <c r="N32" i="5"/>
  <c r="M34" i="5"/>
  <c r="M124" i="5" s="1"/>
  <c r="L35" i="5"/>
  <c r="L125" i="5" s="1"/>
  <c r="K37" i="5"/>
  <c r="J39" i="5"/>
  <c r="J123" i="5" s="1"/>
  <c r="I40" i="5"/>
  <c r="I126" i="5" s="1"/>
  <c r="H41" i="5"/>
  <c r="G42" i="5"/>
  <c r="F44" i="5"/>
  <c r="P48" i="5"/>
  <c r="O50" i="5"/>
  <c r="N51" i="5"/>
  <c r="M52" i="5"/>
  <c r="M161" i="5" s="1"/>
  <c r="L53" i="5"/>
  <c r="L160" i="5" s="1"/>
  <c r="K55" i="5"/>
  <c r="J57" i="5"/>
  <c r="J132" i="5" s="1"/>
  <c r="I59" i="5"/>
  <c r="H61" i="5"/>
  <c r="G62" i="5"/>
  <c r="F63" i="5"/>
  <c r="Q64" i="5"/>
  <c r="Q163" i="5" s="1"/>
  <c r="P66" i="5"/>
  <c r="O68" i="5"/>
  <c r="O134" i="5" s="1"/>
  <c r="N69" i="5"/>
  <c r="N165" i="5" s="1"/>
  <c r="N213" i="5" s="1"/>
  <c r="M71" i="5"/>
  <c r="L73" i="5"/>
  <c r="K74" i="5"/>
  <c r="J75" i="5"/>
  <c r="I76" i="5"/>
  <c r="H78" i="5"/>
  <c r="G80" i="5"/>
  <c r="G135" i="5" s="1"/>
  <c r="F81" i="5"/>
  <c r="F167" i="5" s="1"/>
  <c r="F215" i="5" s="1"/>
  <c r="Q83" i="5"/>
  <c r="P85" i="5"/>
  <c r="P136" i="5" s="1"/>
  <c r="O86" i="5"/>
  <c r="O168" i="5" s="1"/>
  <c r="O231" i="5" s="1"/>
  <c r="N88" i="5"/>
  <c r="M90" i="5"/>
  <c r="L91" i="5"/>
  <c r="K92" i="5"/>
  <c r="J93" i="5"/>
  <c r="J177" i="5" s="1"/>
  <c r="J219" i="5" s="1"/>
  <c r="I94" i="5"/>
  <c r="I171" i="5" s="1"/>
  <c r="H96" i="5"/>
  <c r="G98" i="5"/>
  <c r="F99" i="5"/>
  <c r="Q100" i="5"/>
  <c r="Q175" i="5" s="1"/>
  <c r="Q217" i="5" s="1"/>
  <c r="O104" i="5"/>
  <c r="O183" i="5" s="1"/>
  <c r="O226" i="5" s="1"/>
  <c r="N105" i="5"/>
  <c r="N182" i="5" s="1"/>
  <c r="N224" i="5" s="1"/>
  <c r="M106" i="5"/>
  <c r="M190" i="5" s="1"/>
  <c r="Q104" i="5"/>
  <c r="Q183" i="5" s="1"/>
  <c r="Q226" i="5" s="1"/>
  <c r="P105" i="5"/>
  <c r="P182" i="5" s="1"/>
  <c r="P224" i="5" s="1"/>
  <c r="O106" i="5"/>
  <c r="O190" i="5" s="1"/>
  <c r="N108" i="5"/>
  <c r="K63" i="5"/>
  <c r="K81" i="5"/>
  <c r="K167" i="5" s="1"/>
  <c r="K215" i="5" s="1"/>
  <c r="Q91" i="5"/>
  <c r="L98" i="5"/>
  <c r="L157" i="5" s="1"/>
  <c r="L202" i="5" s="1"/>
  <c r="F106" i="5"/>
  <c r="F190" i="5" s="1"/>
  <c r="I30" i="5"/>
  <c r="I119" i="5" s="1"/>
  <c r="M42" i="5"/>
  <c r="H51" i="5"/>
  <c r="Q55" i="5"/>
  <c r="K64" i="5"/>
  <c r="K163" i="5" s="1"/>
  <c r="F73" i="5"/>
  <c r="N78" i="5"/>
  <c r="H88" i="5"/>
  <c r="O94" i="5"/>
  <c r="O171" i="5" s="1"/>
  <c r="O216" i="5" s="1"/>
  <c r="J102" i="5"/>
  <c r="K29" i="5"/>
  <c r="K116" i="5" s="1"/>
  <c r="F37" i="5"/>
  <c r="O41" i="5"/>
  <c r="K48" i="5"/>
  <c r="F28" i="5"/>
  <c r="F117" i="5" s="1"/>
  <c r="Q29" i="5"/>
  <c r="Q116" i="5" s="1"/>
  <c r="P30" i="5"/>
  <c r="P119" i="5" s="1"/>
  <c r="O32" i="5"/>
  <c r="N34" i="5"/>
  <c r="N124" i="5" s="1"/>
  <c r="M35" i="5"/>
  <c r="M125" i="5" s="1"/>
  <c r="L37" i="5"/>
  <c r="K39" i="5"/>
  <c r="K123" i="5" s="1"/>
  <c r="J40" i="5"/>
  <c r="J126" i="5" s="1"/>
  <c r="I41" i="5"/>
  <c r="H42" i="5"/>
  <c r="G44" i="5"/>
  <c r="F46" i="5"/>
  <c r="Q48" i="5"/>
  <c r="P50" i="5"/>
  <c r="O51" i="5"/>
  <c r="N52" i="5"/>
  <c r="N161" i="5" s="1"/>
  <c r="M53" i="5"/>
  <c r="M160" i="5" s="1"/>
  <c r="M208" i="5" s="1"/>
  <c r="L55" i="5"/>
  <c r="K57" i="5"/>
  <c r="K132" i="5" s="1"/>
  <c r="J59" i="5"/>
  <c r="I61" i="5"/>
  <c r="H62" i="5"/>
  <c r="G63" i="5"/>
  <c r="F64" i="5"/>
  <c r="F163" i="5" s="1"/>
  <c r="Q66" i="5"/>
  <c r="P68" i="5"/>
  <c r="P134" i="5" s="1"/>
  <c r="O69" i="5"/>
  <c r="O165" i="5" s="1"/>
  <c r="O213" i="5" s="1"/>
  <c r="N71" i="5"/>
  <c r="M73" i="5"/>
  <c r="L74" i="5"/>
  <c r="K75" i="5"/>
  <c r="J76" i="5"/>
  <c r="I78" i="5"/>
  <c r="H80" i="5"/>
  <c r="H135" i="5" s="1"/>
  <c r="G81" i="5"/>
  <c r="G167" i="5" s="1"/>
  <c r="G215" i="5" s="1"/>
  <c r="F83" i="5"/>
  <c r="Q85" i="5"/>
  <c r="Q136" i="5" s="1"/>
  <c r="P86" i="5"/>
  <c r="P168" i="5" s="1"/>
  <c r="O88" i="5"/>
  <c r="N90" i="5"/>
  <c r="M91" i="5"/>
  <c r="L92" i="5"/>
  <c r="K93" i="5"/>
  <c r="K177" i="5" s="1"/>
  <c r="K219" i="5" s="1"/>
  <c r="J94" i="5"/>
  <c r="J171" i="5" s="1"/>
  <c r="J216" i="5" s="1"/>
  <c r="I96" i="5"/>
  <c r="H98" i="5"/>
  <c r="G99" i="5"/>
  <c r="F100" i="5"/>
  <c r="F175" i="5" s="1"/>
  <c r="F217" i="5" s="1"/>
  <c r="Q102" i="5"/>
  <c r="P104" i="5"/>
  <c r="P183" i="5" s="1"/>
  <c r="O105" i="5"/>
  <c r="O182" i="5" s="1"/>
  <c r="O224" i="5" s="1"/>
  <c r="N106" i="5"/>
  <c r="N190" i="5" s="1"/>
  <c r="M108" i="5"/>
  <c r="O57" i="5"/>
  <c r="O132" i="5" s="1"/>
  <c r="F71" i="5"/>
  <c r="L80" i="5"/>
  <c r="L135" i="5" s="1"/>
  <c r="F90" i="5"/>
  <c r="M96" i="5"/>
  <c r="G105" i="5"/>
  <c r="G182" i="5" s="1"/>
  <c r="G224" i="5" s="1"/>
  <c r="G34" i="5"/>
  <c r="G124" i="5" s="1"/>
  <c r="N61" i="5"/>
  <c r="J30" i="5"/>
  <c r="J119" i="5" s="1"/>
  <c r="P40" i="5"/>
  <c r="P126" i="5" s="1"/>
  <c r="H52" i="5"/>
  <c r="H161" i="5" s="1"/>
  <c r="O61" i="5"/>
  <c r="K66" i="5"/>
  <c r="F74" i="5"/>
  <c r="M81" i="5"/>
  <c r="M167" i="5" s="1"/>
  <c r="M215" i="5" s="1"/>
  <c r="G28" i="5"/>
  <c r="G117" i="5" s="1"/>
  <c r="F29" i="5"/>
  <c r="F116" i="5" s="1"/>
  <c r="Q30" i="5"/>
  <c r="Q119" i="5" s="1"/>
  <c r="P32" i="5"/>
  <c r="O34" i="5"/>
  <c r="O124" i="5" s="1"/>
  <c r="N35" i="5"/>
  <c r="N125" i="5" s="1"/>
  <c r="M37" i="5"/>
  <c r="L39" i="5"/>
  <c r="L123" i="5" s="1"/>
  <c r="K40" i="5"/>
  <c r="K126" i="5" s="1"/>
  <c r="J41" i="5"/>
  <c r="I42" i="5"/>
  <c r="H44" i="5"/>
  <c r="G46" i="5"/>
  <c r="F48" i="5"/>
  <c r="Q50" i="5"/>
  <c r="P51" i="5"/>
  <c r="O52" i="5"/>
  <c r="O161" i="5" s="1"/>
  <c r="N53" i="5"/>
  <c r="N160" i="5" s="1"/>
  <c r="N208" i="5" s="1"/>
  <c r="M55" i="5"/>
  <c r="L57" i="5"/>
  <c r="L132" i="5" s="1"/>
  <c r="K59" i="5"/>
  <c r="J61" i="5"/>
  <c r="I62" i="5"/>
  <c r="H63" i="5"/>
  <c r="G64" i="5"/>
  <c r="G163" i="5" s="1"/>
  <c r="F66" i="5"/>
  <c r="Q68" i="5"/>
  <c r="Q134" i="5" s="1"/>
  <c r="P69" i="5"/>
  <c r="P165" i="5" s="1"/>
  <c r="P213" i="5" s="1"/>
  <c r="O71" i="5"/>
  <c r="N73" i="5"/>
  <c r="M74" i="5"/>
  <c r="L75" i="5"/>
  <c r="K76" i="5"/>
  <c r="J78" i="5"/>
  <c r="I80" i="5"/>
  <c r="I135" i="5" s="1"/>
  <c r="H81" i="5"/>
  <c r="H167" i="5" s="1"/>
  <c r="H215" i="5" s="1"/>
  <c r="G83" i="5"/>
  <c r="F85" i="5"/>
  <c r="F136" i="5" s="1"/>
  <c r="Q86" i="5"/>
  <c r="Q168" i="5" s="1"/>
  <c r="Q231" i="5" s="1"/>
  <c r="P88" i="5"/>
  <c r="O90" i="5"/>
  <c r="N91" i="5"/>
  <c r="M92" i="5"/>
  <c r="L93" i="5"/>
  <c r="L177" i="5" s="1"/>
  <c r="L219" i="5" s="1"/>
  <c r="K94" i="5"/>
  <c r="K171" i="5" s="1"/>
  <c r="J96" i="5"/>
  <c r="I98" i="5"/>
  <c r="H99" i="5"/>
  <c r="G100" i="5"/>
  <c r="G175" i="5" s="1"/>
  <c r="G217" i="5" s="1"/>
  <c r="F102" i="5"/>
  <c r="K44" i="5"/>
  <c r="G51" i="5"/>
  <c r="M61" i="5"/>
  <c r="H68" i="5"/>
  <c r="H134" i="5" s="1"/>
  <c r="O75" i="5"/>
  <c r="I85" i="5"/>
  <c r="I136" i="5" s="1"/>
  <c r="O93" i="5"/>
  <c r="O177" i="5" s="1"/>
  <c r="O219" i="5" s="1"/>
  <c r="J100" i="5"/>
  <c r="J175" i="5" s="1"/>
  <c r="J217" i="5" s="1"/>
  <c r="Q108" i="5"/>
  <c r="I50" i="5"/>
  <c r="M62" i="5"/>
  <c r="G71" i="5"/>
  <c r="O76" i="5"/>
  <c r="I86" i="5"/>
  <c r="I168" i="5" s="1"/>
  <c r="I231" i="5" s="1"/>
  <c r="P93" i="5"/>
  <c r="P177" i="5" s="1"/>
  <c r="P219" i="5" s="1"/>
  <c r="K100" i="5"/>
  <c r="K175" i="5" s="1"/>
  <c r="K217" i="5" s="1"/>
  <c r="J50" i="5"/>
  <c r="P76" i="5"/>
  <c r="I88" i="5"/>
  <c r="H28" i="5"/>
  <c r="H117" i="5" s="1"/>
  <c r="G29" i="5"/>
  <c r="G116" i="5" s="1"/>
  <c r="F30" i="5"/>
  <c r="F119" i="5" s="1"/>
  <c r="Q32" i="5"/>
  <c r="P34" i="5"/>
  <c r="P124" i="5" s="1"/>
  <c r="O35" i="5"/>
  <c r="O125" i="5" s="1"/>
  <c r="N37" i="5"/>
  <c r="M39" i="5"/>
  <c r="M123" i="5" s="1"/>
  <c r="L40" i="5"/>
  <c r="L126" i="5" s="1"/>
  <c r="K41" i="5"/>
  <c r="J42" i="5"/>
  <c r="I44" i="5"/>
  <c r="G48" i="5"/>
  <c r="F50" i="5"/>
  <c r="Q51" i="5"/>
  <c r="P52" i="5"/>
  <c r="P161" i="5" s="1"/>
  <c r="O53" i="5"/>
  <c r="O160" i="5" s="1"/>
  <c r="O208" i="5" s="1"/>
  <c r="N55" i="5"/>
  <c r="M57" i="5"/>
  <c r="M132" i="5" s="1"/>
  <c r="L59" i="5"/>
  <c r="K61" i="5"/>
  <c r="J62" i="5"/>
  <c r="I63" i="5"/>
  <c r="H64" i="5"/>
  <c r="H163" i="5" s="1"/>
  <c r="G66" i="5"/>
  <c r="F68" i="5"/>
  <c r="F134" i="5" s="1"/>
  <c r="Q69" i="5"/>
  <c r="Q165" i="5" s="1"/>
  <c r="Q213" i="5" s="1"/>
  <c r="P71" i="5"/>
  <c r="O73" i="5"/>
  <c r="N74" i="5"/>
  <c r="M75" i="5"/>
  <c r="L76" i="5"/>
  <c r="K78" i="5"/>
  <c r="J80" i="5"/>
  <c r="J135" i="5" s="1"/>
  <c r="I81" i="5"/>
  <c r="I167" i="5" s="1"/>
  <c r="H83" i="5"/>
  <c r="G85" i="5"/>
  <c r="G136" i="5" s="1"/>
  <c r="F86" i="5"/>
  <c r="F168" i="5" s="1"/>
  <c r="F231" i="5" s="1"/>
  <c r="Q88" i="5"/>
  <c r="P90" i="5"/>
  <c r="O91" i="5"/>
  <c r="N92" i="5"/>
  <c r="M93" i="5"/>
  <c r="M177" i="5" s="1"/>
  <c r="M219" i="5" s="1"/>
  <c r="L94" i="5"/>
  <c r="L171" i="5" s="1"/>
  <c r="L216" i="5" s="1"/>
  <c r="K96" i="5"/>
  <c r="J98" i="5"/>
  <c r="I99" i="5"/>
  <c r="H100" i="5"/>
  <c r="H175" i="5" s="1"/>
  <c r="H217" i="5" s="1"/>
  <c r="G102" i="5"/>
  <c r="F104" i="5"/>
  <c r="F183" i="5" s="1"/>
  <c r="F226" i="5" s="1"/>
  <c r="Q105" i="5"/>
  <c r="Q182" i="5" s="1"/>
  <c r="Q224" i="5" s="1"/>
  <c r="P106" i="5"/>
  <c r="P190" i="5" s="1"/>
  <c r="O108" i="5"/>
  <c r="I29" i="5"/>
  <c r="I116" i="5" s="1"/>
  <c r="O39" i="5"/>
  <c r="O123" i="5" s="1"/>
  <c r="M41" i="5"/>
  <c r="F52" i="5"/>
  <c r="F161" i="5" s="1"/>
  <c r="L62" i="5"/>
  <c r="J29" i="5"/>
  <c r="J116" i="5" s="1"/>
  <c r="P39" i="5"/>
  <c r="P123" i="5" s="1"/>
  <c r="L44" i="5"/>
  <c r="G52" i="5"/>
  <c r="G161" i="5" s="1"/>
  <c r="P57" i="5"/>
  <c r="P132" i="5" s="1"/>
  <c r="J66" i="5"/>
  <c r="Q74" i="5"/>
  <c r="K83" i="5"/>
  <c r="F91" i="5"/>
  <c r="M98" i="5"/>
  <c r="H105" i="5"/>
  <c r="H182" i="5" s="1"/>
  <c r="H224" i="5" s="1"/>
  <c r="G53" i="5"/>
  <c r="G160" i="5" s="1"/>
  <c r="G208" i="5" s="1"/>
  <c r="J68" i="5"/>
  <c r="J134" i="5" s="1"/>
  <c r="Q75" i="5"/>
  <c r="K85" i="5"/>
  <c r="K136" i="5" s="1"/>
  <c r="I28" i="5"/>
  <c r="I117" i="5" s="1"/>
  <c r="H29" i="5"/>
  <c r="H116" i="5" s="1"/>
  <c r="G30" i="5"/>
  <c r="G119" i="5" s="1"/>
  <c r="F32" i="5"/>
  <c r="Q34" i="5"/>
  <c r="Q124" i="5" s="1"/>
  <c r="P35" i="5"/>
  <c r="P125" i="5" s="1"/>
  <c r="O37" i="5"/>
  <c r="N39" i="5"/>
  <c r="N123" i="5" s="1"/>
  <c r="M40" i="5"/>
  <c r="M126" i="5" s="1"/>
  <c r="L41" i="5"/>
  <c r="K42" i="5"/>
  <c r="J44" i="5"/>
  <c r="I46" i="5"/>
  <c r="H48" i="5"/>
  <c r="G50" i="5"/>
  <c r="F51" i="5"/>
  <c r="Q52" i="5"/>
  <c r="Q161" i="5" s="1"/>
  <c r="P53" i="5"/>
  <c r="P160" i="5" s="1"/>
  <c r="P208" i="5" s="1"/>
  <c r="O55" i="5"/>
  <c r="N57" i="5"/>
  <c r="N132" i="5" s="1"/>
  <c r="M59" i="5"/>
  <c r="L61" i="5"/>
  <c r="K62" i="5"/>
  <c r="J63" i="5"/>
  <c r="I64" i="5"/>
  <c r="I163" i="5" s="1"/>
  <c r="H66" i="5"/>
  <c r="G68" i="5"/>
  <c r="G134" i="5" s="1"/>
  <c r="F69" i="5"/>
  <c r="F165" i="5" s="1"/>
  <c r="F213" i="5" s="1"/>
  <c r="Q71" i="5"/>
  <c r="P73" i="5"/>
  <c r="O74" i="5"/>
  <c r="N75" i="5"/>
  <c r="M76" i="5"/>
  <c r="L78" i="5"/>
  <c r="K80" i="5"/>
  <c r="K135" i="5" s="1"/>
  <c r="J81" i="5"/>
  <c r="J167" i="5" s="1"/>
  <c r="J215" i="5" s="1"/>
  <c r="I83" i="5"/>
  <c r="H85" i="5"/>
  <c r="H136" i="5" s="1"/>
  <c r="G86" i="5"/>
  <c r="G168" i="5" s="1"/>
  <c r="G231" i="5" s="1"/>
  <c r="F88" i="5"/>
  <c r="Q90" i="5"/>
  <c r="P91" i="5"/>
  <c r="O92" i="5"/>
  <c r="N93" i="5"/>
  <c r="N177" i="5" s="1"/>
  <c r="N219" i="5" s="1"/>
  <c r="M94" i="5"/>
  <c r="M171" i="5" s="1"/>
  <c r="L96" i="5"/>
  <c r="K98" i="5"/>
  <c r="K157" i="5" s="1"/>
  <c r="K202" i="5" s="1"/>
  <c r="J99" i="5"/>
  <c r="I100" i="5"/>
  <c r="I175" i="5" s="1"/>
  <c r="I217" i="5" s="1"/>
  <c r="H102" i="5"/>
  <c r="G104" i="5"/>
  <c r="G183" i="5" s="1"/>
  <c r="G226" i="5" s="1"/>
  <c r="F105" i="5"/>
  <c r="F182" i="5" s="1"/>
  <c r="F224" i="5" s="1"/>
  <c r="Q106" i="5"/>
  <c r="Q190" i="5" s="1"/>
  <c r="P108" i="5"/>
  <c r="J28" i="5"/>
  <c r="J117" i="5" s="1"/>
  <c r="Q35" i="5"/>
  <c r="Q125" i="5" s="1"/>
  <c r="P37" i="5"/>
  <c r="N40" i="5"/>
  <c r="N126" i="5" s="1"/>
  <c r="L42" i="5"/>
  <c r="I48" i="5"/>
  <c r="P55" i="5"/>
  <c r="J64" i="5"/>
  <c r="J163" i="5" s="1"/>
  <c r="Q73" i="5"/>
  <c r="M78" i="5"/>
  <c r="G88" i="5"/>
  <c r="N94" i="5"/>
  <c r="N171" i="5" s="1"/>
  <c r="N216" i="5" s="1"/>
  <c r="I102" i="5"/>
  <c r="H32" i="5"/>
  <c r="J48" i="5"/>
  <c r="F108" i="5"/>
  <c r="H34" i="5"/>
  <c r="H124" i="5" s="1"/>
  <c r="Q39" i="5"/>
  <c r="Q123" i="5" s="1"/>
  <c r="N42" i="5"/>
  <c r="I51" i="5"/>
  <c r="Q57" i="5"/>
  <c r="Q132" i="5" s="1"/>
  <c r="L64" i="5"/>
  <c r="L163" i="5" s="1"/>
  <c r="H71" i="5"/>
  <c r="N80" i="5"/>
  <c r="N135" i="5" s="1"/>
  <c r="H91" i="5"/>
  <c r="P96" i="5"/>
  <c r="L102" i="5"/>
  <c r="H108" i="5"/>
  <c r="L29" i="5"/>
  <c r="L116" i="5" s="1"/>
  <c r="F39" i="5"/>
  <c r="F123" i="5" s="1"/>
  <c r="L48" i="5"/>
  <c r="F57" i="5"/>
  <c r="F132" i="5" s="1"/>
  <c r="L66" i="5"/>
  <c r="F75" i="5"/>
  <c r="L85" i="5"/>
  <c r="L136" i="5" s="1"/>
  <c r="F92" i="5"/>
  <c r="J104" i="5"/>
  <c r="J183" i="5" s="1"/>
  <c r="J226" i="5" s="1"/>
  <c r="J51" i="5"/>
  <c r="F93" i="5"/>
  <c r="F177" i="5" s="1"/>
  <c r="F219" i="5" s="1"/>
  <c r="G37" i="5"/>
  <c r="M83" i="5"/>
  <c r="N98" i="5"/>
  <c r="O96" i="5"/>
  <c r="I105" i="5"/>
  <c r="I182" i="5" s="1"/>
  <c r="I224" i="5" s="1"/>
  <c r="M64" i="5"/>
  <c r="M163" i="5" s="1"/>
  <c r="K30" i="5"/>
  <c r="K119" i="5" s="1"/>
  <c r="K212" i="5" s="1"/>
  <c r="Q40" i="5"/>
  <c r="Q126" i="5" s="1"/>
  <c r="K50" i="5"/>
  <c r="Q59" i="5"/>
  <c r="K68" i="5"/>
  <c r="K134" i="5" s="1"/>
  <c r="Q76" i="5"/>
  <c r="J86" i="5"/>
  <c r="J168" i="5" s="1"/>
  <c r="J231" i="5" s="1"/>
  <c r="G92" i="5"/>
  <c r="O98" i="5"/>
  <c r="O157" i="5" s="1"/>
  <c r="O202" i="5" s="1"/>
  <c r="K104" i="5"/>
  <c r="K183" i="5" s="1"/>
  <c r="K226" i="5" s="1"/>
  <c r="M46" i="5"/>
  <c r="K86" i="5"/>
  <c r="K168" i="5" s="1"/>
  <c r="K231" i="5" s="1"/>
  <c r="J32" i="5"/>
  <c r="P41" i="5"/>
  <c r="P61" i="5"/>
  <c r="J69" i="5"/>
  <c r="J165" i="5" s="1"/>
  <c r="J213" i="5" s="1"/>
  <c r="P78" i="5"/>
  <c r="M99" i="5"/>
  <c r="M28" i="5"/>
  <c r="M117" i="5" s="1"/>
  <c r="G74" i="5"/>
  <c r="K102" i="5"/>
  <c r="J88" i="5"/>
  <c r="Q93" i="5"/>
  <c r="Q177" i="5" s="1"/>
  <c r="Q219" i="5" s="1"/>
  <c r="N99" i="5"/>
  <c r="J105" i="5"/>
  <c r="J182" i="5" s="1"/>
  <c r="J224" i="5" s="1"/>
  <c r="P94" i="5"/>
  <c r="P171" i="5" s="1"/>
  <c r="P216" i="5" s="1"/>
  <c r="L100" i="5"/>
  <c r="L175" i="5" s="1"/>
  <c r="L217" i="5" s="1"/>
  <c r="H106" i="5"/>
  <c r="H190" i="5" s="1"/>
  <c r="I34" i="5"/>
  <c r="I124" i="5" s="1"/>
  <c r="O42" i="5"/>
  <c r="I52" i="5"/>
  <c r="I161" i="5" s="1"/>
  <c r="O62" i="5"/>
  <c r="I71" i="5"/>
  <c r="O80" i="5"/>
  <c r="O135" i="5" s="1"/>
  <c r="H35" i="5"/>
  <c r="H125" i="5" s="1"/>
  <c r="H53" i="5"/>
  <c r="H160" i="5" s="1"/>
  <c r="H208" i="5" s="1"/>
  <c r="H73" i="5"/>
  <c r="I90" i="5"/>
  <c r="M100" i="5"/>
  <c r="M175" i="5" s="1"/>
  <c r="M217" i="5" s="1"/>
  <c r="G55" i="5"/>
  <c r="G108" i="5"/>
  <c r="H90" i="5"/>
  <c r="H137" i="5" s="1"/>
  <c r="N44" i="5"/>
  <c r="N63" i="5"/>
  <c r="N81" i="5"/>
  <c r="N167" i="5" s="1"/>
  <c r="N215" i="5" s="1"/>
  <c r="Q94" i="5"/>
  <c r="Q171" i="5" s="1"/>
  <c r="Q216" i="5" s="1"/>
  <c r="I106" i="5"/>
  <c r="I190" i="5" s="1"/>
  <c r="G91" i="5"/>
  <c r="Q35" i="2"/>
  <c r="N14" i="5"/>
  <c r="N17" i="5" s="1"/>
  <c r="N198" i="5" s="1"/>
  <c r="H90" i="2"/>
  <c r="H92" i="2" s="1"/>
  <c r="I22" i="5"/>
  <c r="K216" i="5"/>
  <c r="I230" i="5"/>
  <c r="I225" i="5"/>
  <c r="I210" i="5"/>
  <c r="I215" i="5"/>
  <c r="I205" i="5"/>
  <c r="I213" i="5"/>
  <c r="I7" i="5"/>
  <c r="I24" i="5" s="1"/>
  <c r="I200" i="5" s="1"/>
  <c r="J5" i="5"/>
  <c r="P14" i="5"/>
  <c r="P17" i="5" s="1"/>
  <c r="G230" i="5"/>
  <c r="G225" i="5"/>
  <c r="G213" i="5"/>
  <c r="G210" i="5"/>
  <c r="G205" i="5"/>
  <c r="P231" i="5"/>
  <c r="P230" i="5"/>
  <c r="P226" i="5"/>
  <c r="P225" i="5"/>
  <c r="P217" i="5"/>
  <c r="P215" i="5"/>
  <c r="P210" i="5"/>
  <c r="P205" i="5"/>
  <c r="Q198" i="5"/>
  <c r="Q22" i="5"/>
  <c r="L225" i="5"/>
  <c r="L210" i="5"/>
  <c r="L208" i="5"/>
  <c r="L205" i="5"/>
  <c r="L230" i="5"/>
  <c r="O22" i="5"/>
  <c r="M14" i="5"/>
  <c r="M17" i="5" s="1"/>
  <c r="G198" i="5"/>
  <c r="G24" i="5"/>
  <c r="G200" i="5" s="1"/>
  <c r="G22" i="5"/>
  <c r="N231" i="5"/>
  <c r="N230" i="5"/>
  <c r="N226" i="5"/>
  <c r="N225" i="5"/>
  <c r="N217" i="5"/>
  <c r="N210" i="5"/>
  <c r="N205" i="5"/>
  <c r="H17" i="5"/>
  <c r="M210" i="5"/>
  <c r="M226" i="5"/>
  <c r="M205" i="5"/>
  <c r="M225" i="5"/>
  <c r="M230" i="5"/>
  <c r="I216" i="5"/>
  <c r="M216" i="5"/>
  <c r="L14" i="5"/>
  <c r="L17" i="5" s="1"/>
  <c r="F17" i="5"/>
  <c r="J198" i="5"/>
  <c r="J22" i="5"/>
  <c r="F90" i="2"/>
  <c r="F92" i="2" s="1"/>
  <c r="Q76" i="2"/>
  <c r="M90" i="2"/>
  <c r="N110" i="5" s="1"/>
  <c r="Q63" i="2"/>
  <c r="O90" i="2"/>
  <c r="N90" i="2"/>
  <c r="N92" i="2" s="1"/>
  <c r="N93" i="2" s="1"/>
  <c r="P90" i="2"/>
  <c r="P92" i="2" s="1"/>
  <c r="P93" i="2" s="1"/>
  <c r="Q58" i="2"/>
  <c r="Q88" i="2"/>
  <c r="G90" i="2"/>
  <c r="G92" i="2" s="1"/>
  <c r="G93" i="2" s="1"/>
  <c r="E90" i="2"/>
  <c r="E92" i="2" s="1"/>
  <c r="M26" i="2"/>
  <c r="N46" i="5" s="1"/>
  <c r="K90" i="2"/>
  <c r="L110" i="5" s="1"/>
  <c r="Q46" i="2"/>
  <c r="I90" i="2"/>
  <c r="J110" i="5" s="1"/>
  <c r="K26" i="2"/>
  <c r="L46" i="5" s="1"/>
  <c r="Q24" i="2"/>
  <c r="J90" i="2"/>
  <c r="K110" i="5" s="1"/>
  <c r="L90" i="2"/>
  <c r="J92" i="2"/>
  <c r="J93" i="2" s="1"/>
  <c r="P212" i="5" l="1"/>
  <c r="G131" i="5"/>
  <c r="F133" i="5"/>
  <c r="F121" i="5"/>
  <c r="L212" i="5"/>
  <c r="L131" i="5"/>
  <c r="O166" i="5"/>
  <c r="O214" i="5" s="1"/>
  <c r="M92" i="2"/>
  <c r="M93" i="2" s="1"/>
  <c r="M212" i="5"/>
  <c r="H93" i="2"/>
  <c r="I112" i="5"/>
  <c r="I121" i="5"/>
  <c r="I127" i="5" s="1"/>
  <c r="H112" i="5"/>
  <c r="Q26" i="2"/>
  <c r="O92" i="2"/>
  <c r="O93" i="2" s="1"/>
  <c r="Q212" i="5"/>
  <c r="I110" i="5"/>
  <c r="Q110" i="5"/>
  <c r="I92" i="2"/>
  <c r="I93" i="2" s="1"/>
  <c r="K112" i="5"/>
  <c r="G157" i="5"/>
  <c r="G202" i="5" s="1"/>
  <c r="H133" i="5"/>
  <c r="H121" i="5"/>
  <c r="H127" i="5" s="1"/>
  <c r="P133" i="5"/>
  <c r="P166" i="5"/>
  <c r="P214" i="5" s="1"/>
  <c r="M121" i="5"/>
  <c r="M127" i="5" s="1"/>
  <c r="N166" i="5"/>
  <c r="N214" i="5" s="1"/>
  <c r="N212" i="5"/>
  <c r="M131" i="5"/>
  <c r="H131" i="5"/>
  <c r="F127" i="5"/>
  <c r="F203" i="5" s="1"/>
  <c r="L92" i="2"/>
  <c r="M133" i="5"/>
  <c r="F212" i="5"/>
  <c r="P121" i="5"/>
  <c r="P127" i="5" s="1"/>
  <c r="O137" i="5"/>
  <c r="O212" i="5"/>
  <c r="J212" i="5"/>
  <c r="N133" i="5"/>
  <c r="G212" i="5"/>
  <c r="L93" i="2"/>
  <c r="M112" i="5"/>
  <c r="F93" i="2"/>
  <c r="G112" i="5"/>
  <c r="E93" i="2"/>
  <c r="F112" i="5"/>
  <c r="I166" i="5"/>
  <c r="I214" i="5" s="1"/>
  <c r="G137" i="5"/>
  <c r="I212" i="5"/>
  <c r="K92" i="2"/>
  <c r="Q90" i="2"/>
  <c r="Q92" i="2" s="1"/>
  <c r="H212" i="5"/>
  <c r="I137" i="5"/>
  <c r="P137" i="5"/>
  <c r="M110" i="5"/>
  <c r="Q131" i="5"/>
  <c r="J166" i="5"/>
  <c r="J214" i="5" s="1"/>
  <c r="J137" i="5"/>
  <c r="H166" i="5"/>
  <c r="H214" i="5" s="1"/>
  <c r="Q112" i="5"/>
  <c r="K131" i="5"/>
  <c r="F110" i="5"/>
  <c r="O112" i="5"/>
  <c r="P131" i="5"/>
  <c r="F166" i="5"/>
  <c r="F214" i="5" s="1"/>
  <c r="N131" i="5"/>
  <c r="K137" i="5"/>
  <c r="N22" i="5"/>
  <c r="P110" i="5"/>
  <c r="L133" i="5"/>
  <c r="L140" i="5" s="1"/>
  <c r="L149" i="5" s="1"/>
  <c r="L201" i="5" s="1"/>
  <c r="L121" i="5"/>
  <c r="L127" i="5" s="1"/>
  <c r="F131" i="5"/>
  <c r="I131" i="5"/>
  <c r="L166" i="5"/>
  <c r="L214" i="5" s="1"/>
  <c r="M166" i="5"/>
  <c r="M214" i="5" s="1"/>
  <c r="N137" i="5"/>
  <c r="N112" i="5"/>
  <c r="I157" i="5"/>
  <c r="I202" i="5" s="1"/>
  <c r="F137" i="5"/>
  <c r="M137" i="5"/>
  <c r="Q133" i="5"/>
  <c r="Q121" i="5"/>
  <c r="Q127" i="5" s="1"/>
  <c r="K166" i="5"/>
  <c r="K214" i="5" s="1"/>
  <c r="G110" i="5"/>
  <c r="O110" i="5"/>
  <c r="M157" i="5"/>
  <c r="M202" i="5" s="1"/>
  <c r="J133" i="5"/>
  <c r="J121" i="5"/>
  <c r="J127" i="5" s="1"/>
  <c r="J129" i="5" s="1"/>
  <c r="H157" i="5"/>
  <c r="H202" i="5" s="1"/>
  <c r="O121" i="5"/>
  <c r="O127" i="5" s="1"/>
  <c r="O203" i="5" s="1"/>
  <c r="F157" i="5"/>
  <c r="F202" i="5" s="1"/>
  <c r="G166" i="5"/>
  <c r="G214" i="5" s="1"/>
  <c r="J157" i="5"/>
  <c r="J202" i="5" s="1"/>
  <c r="O133" i="5"/>
  <c r="I133" i="5"/>
  <c r="O131" i="5"/>
  <c r="G133" i="5"/>
  <c r="G121" i="5"/>
  <c r="G127" i="5" s="1"/>
  <c r="L137" i="5"/>
  <c r="N157" i="5"/>
  <c r="N202" i="5" s="1"/>
  <c r="Q166" i="5"/>
  <c r="Q214" i="5" s="1"/>
  <c r="Q137" i="5"/>
  <c r="K133" i="5"/>
  <c r="K121" i="5"/>
  <c r="K127" i="5" s="1"/>
  <c r="J131" i="5"/>
  <c r="N121" i="5"/>
  <c r="N127" i="5" s="1"/>
  <c r="N129" i="5" s="1"/>
  <c r="P112" i="5"/>
  <c r="Q157" i="5"/>
  <c r="Q202" i="5" s="1"/>
  <c r="H110" i="5"/>
  <c r="I209" i="5"/>
  <c r="I211" i="5"/>
  <c r="G211" i="5"/>
  <c r="G209" i="5"/>
  <c r="F198" i="5"/>
  <c r="F24" i="5"/>
  <c r="F200" i="5" s="1"/>
  <c r="F22" i="5"/>
  <c r="L198" i="5"/>
  <c r="L22" i="5"/>
  <c r="M198" i="5"/>
  <c r="M22" i="5"/>
  <c r="K5" i="5"/>
  <c r="J7" i="5"/>
  <c r="J24" i="5" s="1"/>
  <c r="J200" i="5" s="1"/>
  <c r="H198" i="5"/>
  <c r="H24" i="5"/>
  <c r="H200" i="5" s="1"/>
  <c r="H22" i="5"/>
  <c r="P198" i="5"/>
  <c r="P22" i="5"/>
  <c r="H129" i="5" l="1"/>
  <c r="H203" i="5"/>
  <c r="O129" i="5"/>
  <c r="N203" i="5"/>
  <c r="G140" i="5"/>
  <c r="G149" i="5" s="1"/>
  <c r="H140" i="5"/>
  <c r="H149" i="5" s="1"/>
  <c r="H201" i="5" s="1"/>
  <c r="H218" i="5" s="1"/>
  <c r="O140" i="5"/>
  <c r="O149" i="5" s="1"/>
  <c r="O158" i="5" s="1"/>
  <c r="O187" i="5" s="1"/>
  <c r="O189" i="5" s="1"/>
  <c r="O191" i="5" s="1"/>
  <c r="O195" i="5" s="1"/>
  <c r="L129" i="5"/>
  <c r="L203" i="5"/>
  <c r="L228" i="5" s="1"/>
  <c r="P203" i="5"/>
  <c r="P229" i="5" s="1"/>
  <c r="P129" i="5"/>
  <c r="I203" i="5"/>
  <c r="I228" i="5" s="1"/>
  <c r="I129" i="5"/>
  <c r="F129" i="5"/>
  <c r="M140" i="5"/>
  <c r="M149" i="5" s="1"/>
  <c r="M158" i="5" s="1"/>
  <c r="M187" i="5" s="1"/>
  <c r="M189" i="5" s="1"/>
  <c r="M191" i="5" s="1"/>
  <c r="J112" i="5"/>
  <c r="K203" i="5"/>
  <c r="K229" i="5" s="1"/>
  <c r="K129" i="5"/>
  <c r="G129" i="5"/>
  <c r="G203" i="5"/>
  <c r="G228" i="5" s="1"/>
  <c r="G201" i="5"/>
  <c r="G218" i="5" s="1"/>
  <c r="G158" i="5"/>
  <c r="G187" i="5" s="1"/>
  <c r="G189" i="5" s="1"/>
  <c r="G191" i="5" s="1"/>
  <c r="G195" i="5" s="1"/>
  <c r="Q140" i="5"/>
  <c r="Q149" i="5" s="1"/>
  <c r="N140" i="5"/>
  <c r="N149" i="5" s="1"/>
  <c r="P140" i="5"/>
  <c r="P149" i="5" s="1"/>
  <c r="Q129" i="5"/>
  <c r="Q203" i="5"/>
  <c r="L158" i="5"/>
  <c r="L187" i="5" s="1"/>
  <c r="L189" i="5" s="1"/>
  <c r="L191" i="5" s="1"/>
  <c r="L192" i="5" s="1"/>
  <c r="J203" i="5"/>
  <c r="J229" i="5" s="1"/>
  <c r="I140" i="5"/>
  <c r="I149" i="5" s="1"/>
  <c r="K140" i="5"/>
  <c r="K149" i="5" s="1"/>
  <c r="M203" i="5"/>
  <c r="M129" i="5"/>
  <c r="F140" i="5"/>
  <c r="F149" i="5" s="1"/>
  <c r="K93" i="2"/>
  <c r="L112" i="5"/>
  <c r="J140" i="5"/>
  <c r="J149" i="5" s="1"/>
  <c r="N229" i="5"/>
  <c r="N228" i="5"/>
  <c r="P228" i="5"/>
  <c r="F229" i="5"/>
  <c r="F228" i="5"/>
  <c r="F211" i="5"/>
  <c r="F209" i="5"/>
  <c r="H211" i="5"/>
  <c r="H209" i="5"/>
  <c r="L218" i="5"/>
  <c r="L207" i="5"/>
  <c r="H229" i="5"/>
  <c r="H228" i="5"/>
  <c r="O229" i="5"/>
  <c r="O228" i="5"/>
  <c r="L229" i="5"/>
  <c r="J209" i="5"/>
  <c r="J211" i="5"/>
  <c r="H207" i="5"/>
  <c r="L5" i="5"/>
  <c r="K7" i="5"/>
  <c r="K24" i="5" s="1"/>
  <c r="K200" i="5" s="1"/>
  <c r="I229" i="5" l="1"/>
  <c r="G192" i="5"/>
  <c r="O192" i="5"/>
  <c r="H158" i="5"/>
  <c r="H187" i="5" s="1"/>
  <c r="H189" i="5" s="1"/>
  <c r="H191" i="5" s="1"/>
  <c r="H192" i="5" s="1"/>
  <c r="O201" i="5"/>
  <c r="G229" i="5"/>
  <c r="M192" i="5"/>
  <c r="M195" i="5"/>
  <c r="K228" i="5"/>
  <c r="L195" i="5"/>
  <c r="H195" i="5"/>
  <c r="M201" i="5"/>
  <c r="F201" i="5"/>
  <c r="F158" i="5"/>
  <c r="F187" i="5" s="1"/>
  <c r="F189" i="5" s="1"/>
  <c r="F191" i="5" s="1"/>
  <c r="K201" i="5"/>
  <c r="K158" i="5"/>
  <c r="K187" i="5" s="1"/>
  <c r="K189" i="5" s="1"/>
  <c r="K191" i="5" s="1"/>
  <c r="N201" i="5"/>
  <c r="N158" i="5"/>
  <c r="N187" i="5" s="1"/>
  <c r="N189" i="5" s="1"/>
  <c r="N191" i="5" s="1"/>
  <c r="I201" i="5"/>
  <c r="I158" i="5"/>
  <c r="I187" i="5" s="1"/>
  <c r="I189" i="5" s="1"/>
  <c r="I191" i="5" s="1"/>
  <c r="J228" i="5"/>
  <c r="Q229" i="5"/>
  <c r="Q228" i="5"/>
  <c r="Q201" i="5"/>
  <c r="Q158" i="5"/>
  <c r="Q187" i="5" s="1"/>
  <c r="Q189" i="5" s="1"/>
  <c r="Q191" i="5" s="1"/>
  <c r="M229" i="5"/>
  <c r="M228" i="5"/>
  <c r="G207" i="5"/>
  <c r="J158" i="5"/>
  <c r="J187" i="5" s="1"/>
  <c r="J189" i="5" s="1"/>
  <c r="J191" i="5" s="1"/>
  <c r="J201" i="5"/>
  <c r="P201" i="5"/>
  <c r="P158" i="5"/>
  <c r="P187" i="5" s="1"/>
  <c r="P189" i="5" s="1"/>
  <c r="P191" i="5" s="1"/>
  <c r="K209" i="5"/>
  <c r="K211" i="5"/>
  <c r="M5" i="5"/>
  <c r="L7" i="5"/>
  <c r="L24" i="5" s="1"/>
  <c r="L200" i="5" s="1"/>
  <c r="O207" i="5" l="1"/>
  <c r="O218" i="5"/>
  <c r="M218" i="5"/>
  <c r="M207" i="5"/>
  <c r="Q218" i="5"/>
  <c r="Q207" i="5"/>
  <c r="I218" i="5"/>
  <c r="I207" i="5"/>
  <c r="J218" i="5"/>
  <c r="J207" i="5"/>
  <c r="I192" i="5"/>
  <c r="I195" i="5"/>
  <c r="N218" i="5"/>
  <c r="N207" i="5"/>
  <c r="P195" i="5"/>
  <c r="P192" i="5"/>
  <c r="P218" i="5"/>
  <c r="P207" i="5"/>
  <c r="N195" i="5"/>
  <c r="N192" i="5"/>
  <c r="J195" i="5"/>
  <c r="J192" i="5"/>
  <c r="K195" i="5"/>
  <c r="K192" i="5"/>
  <c r="K207" i="5"/>
  <c r="K218" i="5"/>
  <c r="F192" i="5"/>
  <c r="F195" i="5"/>
  <c r="Q195" i="5"/>
  <c r="Q192" i="5"/>
  <c r="F218" i="5"/>
  <c r="F207" i="5"/>
  <c r="L211" i="5"/>
  <c r="L209" i="5"/>
  <c r="M7" i="5"/>
  <c r="M24" i="5" s="1"/>
  <c r="M200" i="5" s="1"/>
  <c r="N5" i="5"/>
  <c r="O5" i="5" l="1"/>
  <c r="N7" i="5"/>
  <c r="N24" i="5" s="1"/>
  <c r="N200" i="5" s="1"/>
  <c r="M211" i="5"/>
  <c r="M209" i="5"/>
  <c r="N211" i="5" l="1"/>
  <c r="N209" i="5"/>
  <c r="P5" i="5"/>
  <c r="O7" i="5"/>
  <c r="O24" i="5" s="1"/>
  <c r="O200" i="5" s="1"/>
  <c r="O211" i="5" l="1"/>
  <c r="O209" i="5"/>
  <c r="Q5" i="5"/>
  <c r="P7" i="5"/>
  <c r="P24" i="5" s="1"/>
  <c r="P200" i="5" s="1"/>
  <c r="P211" i="5" l="1"/>
  <c r="P209" i="5"/>
  <c r="S5" i="5"/>
  <c r="Q7" i="5"/>
  <c r="Q24" i="5" s="1"/>
  <c r="Q200" i="5" s="1"/>
  <c r="Q211" i="5" l="1"/>
  <c r="Q209" i="5"/>
  <c r="S185" i="5"/>
  <c r="S227" i="5" s="1"/>
  <c r="S181" i="5"/>
  <c r="S223" i="5" s="1"/>
  <c r="S177" i="5"/>
  <c r="S219" i="5" s="1"/>
  <c r="S173" i="5"/>
  <c r="S169" i="5"/>
  <c r="S165" i="5"/>
  <c r="S161" i="5"/>
  <c r="S155" i="5"/>
  <c r="S151" i="5"/>
  <c r="S202" i="5" s="1"/>
  <c r="S145" i="5"/>
  <c r="S139" i="5"/>
  <c r="S206" i="5" s="1"/>
  <c r="S135" i="5"/>
  <c r="S131" i="5"/>
  <c r="S123" i="5"/>
  <c r="S119" i="5"/>
  <c r="S112" i="5"/>
  <c r="S105" i="5"/>
  <c r="S99" i="5"/>
  <c r="S93" i="5"/>
  <c r="S88" i="5"/>
  <c r="S81" i="5"/>
  <c r="S75" i="5"/>
  <c r="S69" i="5"/>
  <c r="S63" i="5"/>
  <c r="S57" i="5"/>
  <c r="S51" i="5"/>
  <c r="S44" i="5"/>
  <c r="S39" i="5"/>
  <c r="S32" i="5"/>
  <c r="S17" i="5"/>
  <c r="S14" i="5"/>
  <c r="S24" i="5"/>
  <c r="S200" i="5" s="1"/>
  <c r="S163" i="5"/>
  <c r="S148" i="5"/>
  <c r="S96" i="5"/>
  <c r="S80" i="5"/>
  <c r="S7" i="5"/>
  <c r="S180" i="5"/>
  <c r="S222" i="5" s="1"/>
  <c r="S137" i="5"/>
  <c r="S122" i="5"/>
  <c r="S66" i="5"/>
  <c r="S50" i="5"/>
  <c r="S171" i="5"/>
  <c r="S160" i="5"/>
  <c r="S108" i="5"/>
  <c r="S92" i="5"/>
  <c r="S35" i="5"/>
  <c r="S12" i="5"/>
  <c r="S197" i="5" s="1"/>
  <c r="T5" i="5"/>
  <c r="S147" i="5"/>
  <c r="S134" i="5"/>
  <c r="S78" i="5"/>
  <c r="S62" i="5"/>
  <c r="S179" i="5"/>
  <c r="S221" i="5" s="1"/>
  <c r="S168" i="5"/>
  <c r="S121" i="5"/>
  <c r="S104" i="5"/>
  <c r="S48" i="5"/>
  <c r="S30" i="5"/>
  <c r="S157" i="5"/>
  <c r="S144" i="5"/>
  <c r="S91" i="5"/>
  <c r="S74" i="5"/>
  <c r="S16" i="5"/>
  <c r="S190" i="5"/>
  <c r="S176" i="5"/>
  <c r="S133" i="5"/>
  <c r="S118" i="5"/>
  <c r="S61" i="5"/>
  <c r="S42" i="5"/>
  <c r="S167" i="5"/>
  <c r="S154" i="5"/>
  <c r="S102" i="5"/>
  <c r="S86" i="5"/>
  <c r="S29" i="5"/>
  <c r="S11" i="5"/>
  <c r="S184" i="5"/>
  <c r="S143" i="5"/>
  <c r="S126" i="5"/>
  <c r="S73" i="5"/>
  <c r="S55" i="5"/>
  <c r="S138" i="5"/>
  <c r="S85" i="5"/>
  <c r="S183" i="5"/>
  <c r="S175" i="5"/>
  <c r="S68" i="5"/>
  <c r="S10" i="5"/>
  <c r="S172" i="5"/>
  <c r="S125" i="5"/>
  <c r="S164" i="5"/>
  <c r="S117" i="5"/>
  <c r="S110" i="5"/>
  <c r="S53" i="5"/>
  <c r="S98" i="5"/>
  <c r="S41" i="5"/>
  <c r="S153" i="5"/>
  <c r="S37" i="5"/>
  <c r="S76" i="5"/>
  <c r="S146" i="5"/>
  <c r="S132" i="5"/>
  <c r="S83" i="5"/>
  <c r="S152" i="5"/>
  <c r="S40" i="5"/>
  <c r="S174" i="5"/>
  <c r="S124" i="5"/>
  <c r="S136" i="5"/>
  <c r="S9" i="5"/>
  <c r="S90" i="5"/>
  <c r="S156" i="5"/>
  <c r="S186" i="5"/>
  <c r="S15" i="5"/>
  <c r="S20" i="5" s="1"/>
  <c r="S94" i="5"/>
  <c r="S162" i="5"/>
  <c r="S34" i="5"/>
  <c r="S170" i="5"/>
  <c r="S182" i="5"/>
  <c r="S224" i="5" s="1"/>
  <c r="S71" i="5"/>
  <c r="S28" i="5"/>
  <c r="S100" i="5"/>
  <c r="S166" i="5"/>
  <c r="S106" i="5"/>
  <c r="S52" i="5"/>
  <c r="S116" i="5"/>
  <c r="S59" i="5"/>
  <c r="S142" i="5"/>
  <c r="S46" i="5"/>
  <c r="S120" i="5"/>
  <c r="S178" i="5"/>
  <c r="S220" i="5" s="1"/>
  <c r="S64" i="5"/>
  <c r="S19" i="5" l="1"/>
  <c r="S212" i="5"/>
  <c r="S198" i="5"/>
  <c r="S22" i="5"/>
  <c r="S211" i="5"/>
  <c r="S209" i="5"/>
  <c r="S216" i="5"/>
  <c r="S127" i="5"/>
  <c r="S21" i="5"/>
  <c r="T180" i="5"/>
  <c r="T222" i="5" s="1"/>
  <c r="T137" i="5"/>
  <c r="T122" i="5"/>
  <c r="T66" i="5"/>
  <c r="T50" i="5"/>
  <c r="T171" i="5"/>
  <c r="T160" i="5"/>
  <c r="T108" i="5"/>
  <c r="T92" i="5"/>
  <c r="T35" i="5"/>
  <c r="T12" i="5"/>
  <c r="T197" i="5" s="1"/>
  <c r="U5" i="5"/>
  <c r="T147" i="5"/>
  <c r="T134" i="5"/>
  <c r="T78" i="5"/>
  <c r="T62" i="5"/>
  <c r="T179" i="5"/>
  <c r="T221" i="5" s="1"/>
  <c r="T168" i="5"/>
  <c r="T121" i="5"/>
  <c r="T104" i="5"/>
  <c r="T48" i="5"/>
  <c r="T30" i="5"/>
  <c r="T157" i="5"/>
  <c r="T144" i="5"/>
  <c r="T91" i="5"/>
  <c r="T74" i="5"/>
  <c r="T16" i="5"/>
  <c r="T190" i="5"/>
  <c r="T176" i="5"/>
  <c r="T133" i="5"/>
  <c r="T118" i="5"/>
  <c r="T61" i="5"/>
  <c r="T42" i="5"/>
  <c r="T167" i="5"/>
  <c r="T154" i="5"/>
  <c r="T102" i="5"/>
  <c r="T86" i="5"/>
  <c r="T29" i="5"/>
  <c r="T11" i="5"/>
  <c r="T184" i="5"/>
  <c r="T143" i="5"/>
  <c r="T126" i="5"/>
  <c r="T73" i="5"/>
  <c r="T55" i="5"/>
  <c r="T175" i="5"/>
  <c r="T164" i="5"/>
  <c r="T117" i="5"/>
  <c r="T98" i="5"/>
  <c r="T41" i="5"/>
  <c r="T138" i="5"/>
  <c r="T85" i="5"/>
  <c r="T183" i="5"/>
  <c r="T80" i="5"/>
  <c r="T68" i="5"/>
  <c r="T10" i="5"/>
  <c r="T172" i="5"/>
  <c r="T125" i="5"/>
  <c r="T7" i="5"/>
  <c r="T110" i="5"/>
  <c r="T53" i="5"/>
  <c r="T163" i="5"/>
  <c r="T153" i="5"/>
  <c r="T37" i="5"/>
  <c r="T148" i="5"/>
  <c r="T96" i="5"/>
  <c r="T51" i="5"/>
  <c r="T123" i="5"/>
  <c r="T181" i="5"/>
  <c r="T223" i="5" s="1"/>
  <c r="T34" i="5"/>
  <c r="T106" i="5"/>
  <c r="T170" i="5"/>
  <c r="T155" i="5"/>
  <c r="T142" i="5"/>
  <c r="T105" i="5"/>
  <c r="T90" i="5"/>
  <c r="T57" i="5"/>
  <c r="T131" i="5"/>
  <c r="T185" i="5"/>
  <c r="T227" i="5" s="1"/>
  <c r="T40" i="5"/>
  <c r="T116" i="5"/>
  <c r="T174" i="5"/>
  <c r="T24" i="5"/>
  <c r="T200" i="5" s="1"/>
  <c r="T71" i="5"/>
  <c r="T112" i="5"/>
  <c r="T94" i="5"/>
  <c r="T63" i="5"/>
  <c r="T135" i="5"/>
  <c r="T46" i="5"/>
  <c r="T120" i="5"/>
  <c r="T178" i="5"/>
  <c r="T220" i="5" s="1"/>
  <c r="T88" i="5"/>
  <c r="T69" i="5"/>
  <c r="T139" i="5"/>
  <c r="T206" i="5" s="1"/>
  <c r="T52" i="5"/>
  <c r="T124" i="5"/>
  <c r="T182" i="5"/>
  <c r="T224" i="5" s="1"/>
  <c r="T81" i="5"/>
  <c r="T151" i="5"/>
  <c r="T64" i="5"/>
  <c r="T136" i="5"/>
  <c r="T173" i="5"/>
  <c r="T162" i="5"/>
  <c r="T186" i="5"/>
  <c r="T75" i="5"/>
  <c r="T145" i="5"/>
  <c r="T59" i="5"/>
  <c r="T132" i="5"/>
  <c r="T17" i="5"/>
  <c r="T99" i="5"/>
  <c r="T165" i="5"/>
  <c r="T152" i="5"/>
  <c r="T44" i="5"/>
  <c r="T177" i="5"/>
  <c r="T219" i="5" s="1"/>
  <c r="T28" i="5"/>
  <c r="T166" i="5"/>
  <c r="T32" i="5"/>
  <c r="T169" i="5"/>
  <c r="T9" i="5"/>
  <c r="T156" i="5"/>
  <c r="T39" i="5"/>
  <c r="T15" i="5"/>
  <c r="T119" i="5"/>
  <c r="T100" i="5"/>
  <c r="T14" i="5"/>
  <c r="T93" i="5"/>
  <c r="T161" i="5"/>
  <c r="T76" i="5"/>
  <c r="T146" i="5"/>
  <c r="T83" i="5"/>
  <c r="S140" i="5"/>
  <c r="S149" i="5" s="1"/>
  <c r="S231" i="5"/>
  <c r="S215" i="5"/>
  <c r="S230" i="5"/>
  <c r="S226" i="5"/>
  <c r="S214" i="5"/>
  <c r="S210" i="5"/>
  <c r="S225" i="5"/>
  <c r="S208" i="5"/>
  <c r="S217" i="5"/>
  <c r="S205" i="5"/>
  <c r="S213" i="5"/>
  <c r="T19" i="5" l="1"/>
  <c r="S203" i="5"/>
  <c r="S129" i="5"/>
  <c r="S201" i="5"/>
  <c r="S158" i="5"/>
  <c r="S187" i="5" s="1"/>
  <c r="S189" i="5" s="1"/>
  <c r="S191" i="5" s="1"/>
  <c r="T211" i="5"/>
  <c r="T209" i="5"/>
  <c r="T212" i="5"/>
  <c r="U151" i="5"/>
  <c r="U81" i="5"/>
  <c r="U184" i="5"/>
  <c r="U126" i="5"/>
  <c r="U55" i="5"/>
  <c r="U170" i="5"/>
  <c r="U106" i="5"/>
  <c r="U34" i="5"/>
  <c r="U157" i="5"/>
  <c r="U117" i="5"/>
  <c r="U145" i="5"/>
  <c r="U75" i="5"/>
  <c r="U180" i="5"/>
  <c r="U222" i="5" s="1"/>
  <c r="U122" i="5"/>
  <c r="U50" i="5"/>
  <c r="U166" i="5"/>
  <c r="U100" i="5"/>
  <c r="U28" i="5"/>
  <c r="U91" i="5"/>
  <c r="U41" i="5"/>
  <c r="U139" i="5"/>
  <c r="U206" i="5" s="1"/>
  <c r="U69" i="5"/>
  <c r="U176" i="5"/>
  <c r="U118" i="5"/>
  <c r="U42" i="5"/>
  <c r="U162" i="5"/>
  <c r="U94" i="5"/>
  <c r="U15" i="5"/>
  <c r="U20" i="5" s="1"/>
  <c r="U16" i="5"/>
  <c r="U153" i="5"/>
  <c r="U173" i="5"/>
  <c r="U148" i="5"/>
  <c r="U66" i="5"/>
  <c r="U121" i="5"/>
  <c r="U135" i="5"/>
  <c r="U63" i="5"/>
  <c r="U172" i="5"/>
  <c r="U216" i="5" s="1"/>
  <c r="U110" i="5"/>
  <c r="U37" i="5"/>
  <c r="U156" i="5"/>
  <c r="U90" i="5"/>
  <c r="U9" i="5"/>
  <c r="U190" i="5"/>
  <c r="U85" i="5"/>
  <c r="U10" i="5"/>
  <c r="U125" i="5"/>
  <c r="U132" i="5"/>
  <c r="U165" i="5"/>
  <c r="U99" i="5"/>
  <c r="U144" i="5"/>
  <c r="U74" i="5"/>
  <c r="U124" i="5"/>
  <c r="U179" i="5"/>
  <c r="U221" i="5" s="1"/>
  <c r="U53" i="5"/>
  <c r="U88" i="5"/>
  <c r="U24" i="5"/>
  <c r="U200" i="5" s="1"/>
  <c r="U62" i="5"/>
  <c r="U116" i="5"/>
  <c r="U175" i="5"/>
  <c r="U185" i="5"/>
  <c r="U227" i="5" s="1"/>
  <c r="U131" i="5"/>
  <c r="U57" i="5"/>
  <c r="U168" i="5"/>
  <c r="U104" i="5"/>
  <c r="U30" i="5"/>
  <c r="U152" i="5"/>
  <c r="U83" i="5"/>
  <c r="U171" i="5"/>
  <c r="U133" i="5"/>
  <c r="U112" i="5"/>
  <c r="U136" i="5"/>
  <c r="U102" i="5"/>
  <c r="U169" i="5"/>
  <c r="U32" i="5"/>
  <c r="U80" i="5"/>
  <c r="U59" i="5"/>
  <c r="U78" i="5"/>
  <c r="U182" i="5"/>
  <c r="U224" i="5" s="1"/>
  <c r="U181" i="5"/>
  <c r="U223" i="5" s="1"/>
  <c r="U123" i="5"/>
  <c r="U51" i="5"/>
  <c r="U164" i="5"/>
  <c r="U98" i="5"/>
  <c r="U12" i="5"/>
  <c r="U197" i="5" s="1"/>
  <c r="U146" i="5"/>
  <c r="U76" i="5"/>
  <c r="U108" i="5"/>
  <c r="U61" i="5"/>
  <c r="U183" i="5"/>
  <c r="U39" i="5"/>
  <c r="U154" i="5"/>
  <c r="U86" i="5"/>
  <c r="U7" i="5"/>
  <c r="U64" i="5"/>
  <c r="U147" i="5"/>
  <c r="U105" i="5"/>
  <c r="U29" i="5"/>
  <c r="U17" i="5"/>
  <c r="U143" i="5"/>
  <c r="U93" i="5"/>
  <c r="U14" i="5"/>
  <c r="U19" i="5" s="1"/>
  <c r="U68" i="5"/>
  <c r="U120" i="5"/>
  <c r="U73" i="5"/>
  <c r="U48" i="5"/>
  <c r="U177" i="5"/>
  <c r="U219" i="5" s="1"/>
  <c r="U119" i="5"/>
  <c r="U44" i="5"/>
  <c r="U160" i="5"/>
  <c r="U92" i="5"/>
  <c r="U11" i="5"/>
  <c r="U142" i="5"/>
  <c r="U71" i="5"/>
  <c r="U35" i="5"/>
  <c r="U167" i="5"/>
  <c r="U137" i="5"/>
  <c r="U52" i="5"/>
  <c r="U186" i="5"/>
  <c r="U161" i="5"/>
  <c r="U138" i="5"/>
  <c r="U178" i="5"/>
  <c r="U220" i="5" s="1"/>
  <c r="U46" i="5"/>
  <c r="U163" i="5"/>
  <c r="U155" i="5"/>
  <c r="U134" i="5"/>
  <c r="U174" i="5"/>
  <c r="U40" i="5"/>
  <c r="U96" i="5"/>
  <c r="T198" i="5"/>
  <c r="T22" i="5"/>
  <c r="T231" i="5"/>
  <c r="T215" i="5"/>
  <c r="T230" i="5"/>
  <c r="T226" i="5"/>
  <c r="T214" i="5"/>
  <c r="T210" i="5"/>
  <c r="T225" i="5"/>
  <c r="T217" i="5"/>
  <c r="T208" i="5"/>
  <c r="T205" i="5"/>
  <c r="T213" i="5"/>
  <c r="T127" i="5"/>
  <c r="T216" i="5"/>
  <c r="T21" i="5"/>
  <c r="T202" i="5"/>
  <c r="T140" i="5"/>
  <c r="T149" i="5" s="1"/>
  <c r="T20" i="5"/>
  <c r="U140" i="5" l="1"/>
  <c r="S195" i="5"/>
  <c r="S192" i="5"/>
  <c r="U149" i="5"/>
  <c r="U202" i="5"/>
  <c r="U231" i="5"/>
  <c r="U215" i="5"/>
  <c r="U230" i="5"/>
  <c r="U226" i="5"/>
  <c r="U214" i="5"/>
  <c r="U210" i="5"/>
  <c r="U225" i="5"/>
  <c r="U217" i="5"/>
  <c r="U208" i="5"/>
  <c r="U205" i="5"/>
  <c r="U213" i="5"/>
  <c r="U212" i="5"/>
  <c r="U198" i="5"/>
  <c r="U22" i="5"/>
  <c r="T203" i="5"/>
  <c r="U127" i="5"/>
  <c r="U211" i="5"/>
  <c r="U209" i="5"/>
  <c r="S207" i="5"/>
  <c r="S218" i="5"/>
  <c r="T201" i="5"/>
  <c r="T218" i="5" s="1"/>
  <c r="T158" i="5"/>
  <c r="T187" i="5" s="1"/>
  <c r="T189" i="5" s="1"/>
  <c r="T191" i="5" s="1"/>
  <c r="T192" i="5" s="1"/>
  <c r="S229" i="5"/>
  <c r="S228" i="5"/>
  <c r="U21" i="5"/>
  <c r="U203" i="5" l="1"/>
  <c r="T229" i="5"/>
  <c r="T228" i="5"/>
  <c r="T207" i="5"/>
  <c r="U201" i="5"/>
  <c r="U218" i="5" s="1"/>
  <c r="U158" i="5"/>
  <c r="U187" i="5" s="1"/>
  <c r="U189" i="5" s="1"/>
  <c r="U191" i="5" s="1"/>
  <c r="U192" i="5" s="1"/>
  <c r="U207" i="5" l="1"/>
  <c r="U229" i="5"/>
  <c r="U2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Morris</author>
  </authors>
  <commentList>
    <comment ref="C46" authorId="0" shapeId="0" xr:uid="{3437588C-A90A-4DD5-9B13-386CF92A7EDD}">
      <text>
        <r>
          <rPr>
            <b/>
            <sz val="9"/>
            <color indexed="81"/>
            <rFont val="Tahoma"/>
            <family val="2"/>
          </rPr>
          <t>FLAG: No Master department home. Caregiver Wages, Med Tech Wages, Wellness Director, and Care Supplies are pooled across AL and MC by the operator (not split by care type) -- kept as one block, positioned among the care departments. Candidate: split AL/Alz via a census-based allocation in the mapping step.</t>
        </r>
      </text>
    </comment>
    <comment ref="C70" authorId="0" shapeId="0" xr:uid="{A5F9D8E0-7FDC-4B81-84CB-E31755A6FAF1}">
      <text>
        <r>
          <rPr>
            <b/>
            <sz val="9"/>
            <color indexed="81"/>
            <rFont val="Tahoma"/>
            <family val="2"/>
          </rPr>
          <t>FLAG: Operator's expense list is flat (no Administrative sub-header to confirm this against) -- bucketed here by function (front-desk / resident-services). Review in PnL mapping.</t>
        </r>
      </text>
    </comment>
    <comment ref="C82" authorId="0" shapeId="0" xr:uid="{BE4D415B-FEB9-45FB-BBBC-CBB370A44185}">
      <text>
        <r>
          <rPr>
            <b/>
            <sz val="9"/>
            <color indexed="81"/>
            <rFont val="Tahoma"/>
            <family val="2"/>
          </rPr>
          <t>FLAG: No Master department home. Payroll Taxes, Employee Benefits, and Workers Comp are pooled across ALL departments (not split by function/department) -- kept as its own block rather than force-allocated into each department's payroll stub. Candidate: apply a labor-cost allocation basis in the mapping step.</t>
        </r>
      </text>
    </comment>
    <comment ref="C86" authorId="0" shapeId="0" xr:uid="{B8D1670F-2B23-4BB8-BAC9-D28AC3DE6B09}">
      <text>
        <r>
          <rPr>
            <b/>
            <sz val="9"/>
            <color indexed="81"/>
            <rFont val="Tahoma"/>
            <family val="2"/>
          </rPr>
          <t>FLAG: Operator's expense list is flat -- no Administrative sub-block to 'leave Management Fee in' per the usual rule. Placed in Non-Departmental per Master convention. Review in PnL mapping.</t>
        </r>
      </text>
    </comment>
  </commentList>
</comments>
</file>

<file path=xl/sharedStrings.xml><?xml version="1.0" encoding="utf-8"?>
<sst xmlns="http://schemas.openxmlformats.org/spreadsheetml/2006/main" count="674" uniqueCount="246">
  <si>
    <t>Aster Ridge Senior Living (DEMO)</t>
  </si>
  <si>
    <t>T12 Income Statement -- Jul 2025 through Jun 2026</t>
  </si>
  <si>
    <t>SYNTHETIC DEMO DATA -- NOT A REAL COMMUNITY. All figures fabricated for demonstration/testing purposes only.</t>
  </si>
  <si>
    <t>Acct</t>
  </si>
  <si>
    <t>Description</t>
  </si>
  <si>
    <t>Total</t>
  </si>
  <si>
    <t>REVENUE</t>
  </si>
  <si>
    <t>Rent Income - IL</t>
  </si>
  <si>
    <t>Rent Income - AL</t>
  </si>
  <si>
    <t>Rent Income - MC</t>
  </si>
  <si>
    <t>Care Level Income - AL</t>
  </si>
  <si>
    <t>Care Level Income - MC</t>
  </si>
  <si>
    <t>Second Person Fees</t>
  </si>
  <si>
    <t>Community Fees</t>
  </si>
  <si>
    <t>Other Resident Income</t>
  </si>
  <si>
    <t>Guest Meals &amp; Ancillary</t>
  </si>
  <si>
    <t>TOTAL REVENUE</t>
  </si>
  <si>
    <t>OPERATING EXPENSES</t>
  </si>
  <si>
    <t>Caregiver Wages</t>
  </si>
  <si>
    <t>Med Tech Wages</t>
  </si>
  <si>
    <t>Wellness Director</t>
  </si>
  <si>
    <t>Dining Wages</t>
  </si>
  <si>
    <t>Dining Director</t>
  </si>
  <si>
    <t>Housekeeping Wages</t>
  </si>
  <si>
    <t>Maintenance Wages</t>
  </si>
  <si>
    <t>Activities Wages</t>
  </si>
  <si>
    <t>Concierge Wages</t>
  </si>
  <si>
    <t>Business Office Manager</t>
  </si>
  <si>
    <t>Executive Director</t>
  </si>
  <si>
    <t>Sales &amp; Marketing Wages</t>
  </si>
  <si>
    <t>Payroll Taxes</t>
  </si>
  <si>
    <t>Employee Benefits</t>
  </si>
  <si>
    <t>Workers Comp</t>
  </si>
  <si>
    <t>Raw Food</t>
  </si>
  <si>
    <t>Dining Supplies</t>
  </si>
  <si>
    <t>Housekeeping Supplies</t>
  </si>
  <si>
    <t>Care Supplies</t>
  </si>
  <si>
    <t>Marketing &amp; Advertising</t>
  </si>
  <si>
    <t>Electricity</t>
  </si>
  <si>
    <t>Gas</t>
  </si>
  <si>
    <t>Water/Sewer</t>
  </si>
  <si>
    <t>Trash</t>
  </si>
  <si>
    <t>Repairs &amp; Maintenance</t>
  </si>
  <si>
    <t>IT &amp; Telephone</t>
  </si>
  <si>
    <t>Insurance</t>
  </si>
  <si>
    <t>Real Estate Taxes</t>
  </si>
  <si>
    <t>Management Fee</t>
  </si>
  <si>
    <t>Other G&amp;A</t>
  </si>
  <si>
    <t>TOTAL OPERATING EXPENSES</t>
  </si>
  <si>
    <t>NET OPERATING INCOME</t>
  </si>
  <si>
    <t>Statement (12 months)</t>
  </si>
  <si>
    <t>Period = Jul 2025 - Jun 2026</t>
  </si>
  <si>
    <t>Book = Accrual ; Tree = wlf_cf</t>
  </si>
  <si>
    <t>x</t>
  </si>
  <si>
    <t>TOTAL RENT REVENUE</t>
  </si>
  <si>
    <t>TOTAL CARE REVENUE</t>
  </si>
  <si>
    <t>TOTAL OTHER REVENUE</t>
  </si>
  <si>
    <t>EXPENSES</t>
  </si>
  <si>
    <t>TOTAL CULINARY EXPENSES</t>
  </si>
  <si>
    <t>TOTAL ACTIVITIES EXPENSES</t>
  </si>
  <si>
    <t>TOTAL WELLNESS - NURSING EXPENSES</t>
  </si>
  <si>
    <t>TOTAL MAINTENANCE EXPENSES</t>
  </si>
  <si>
    <t>TOTAL UTILITIES EXPENSES</t>
  </si>
  <si>
    <t>TOTAL HOUSEKEEPING EXPENSE</t>
  </si>
  <si>
    <t>TOTAL MARKETING EXPENSES</t>
  </si>
  <si>
    <t>TOTAL ADMINISTRATION EXPENSES</t>
  </si>
  <si>
    <t>TOTAL PAYROLL TAXES  and  BENEFITS EXPENSES</t>
  </si>
  <si>
    <t>TOTAL NON-DEPARTMENTAL EXPENSES</t>
  </si>
  <si>
    <t>Margin</t>
  </si>
  <si>
    <t>Check</t>
  </si>
  <si>
    <t>Tag</t>
  </si>
  <si>
    <t>Questions &amp; Comments</t>
  </si>
  <si>
    <t>List of Tags</t>
  </si>
  <si>
    <t>Rent Revenue - IL</t>
  </si>
  <si>
    <t>4010  -  Rent Income - IL</t>
  </si>
  <si>
    <t>Rent Revenue - AL</t>
  </si>
  <si>
    <t>4020  -  Rent Income - AL</t>
  </si>
  <si>
    <t>Rent Revenue - MC</t>
  </si>
  <si>
    <t>4030  -  Rent Income - MC</t>
  </si>
  <si>
    <t>Care Revenue - AL</t>
  </si>
  <si>
    <t>4110  -  Care Level Income - AL</t>
  </si>
  <si>
    <t>Care Revenue - MC</t>
  </si>
  <si>
    <t>4120  -  Care Level Income - MC</t>
  </si>
  <si>
    <t>Rent - Second Person</t>
  </si>
  <si>
    <t>4210  -  Second Person Fees</t>
  </si>
  <si>
    <t>4310  -  Community Fees</t>
  </si>
  <si>
    <t>Other Revenue</t>
  </si>
  <si>
    <t>4410  -  Other Resident Income</t>
  </si>
  <si>
    <t>4510  -  Guest Meals &amp; Ancillary</t>
  </si>
  <si>
    <t>Wages - Culinary</t>
  </si>
  <si>
    <t>6110  -  Dining Wages</t>
  </si>
  <si>
    <t>6120  -  Dining Director</t>
  </si>
  <si>
    <t>Raw Food</t>
  </si>
  <si>
    <t>7010  -  Raw Food</t>
  </si>
  <si>
    <t>Culinary</t>
  </si>
  <si>
    <t>7020  -  Dining Supplies</t>
  </si>
  <si>
    <t>Wages - Activities</t>
  </si>
  <si>
    <t>6410  -  Activities Wages</t>
  </si>
  <si>
    <t>Wages - Direct Care</t>
  </si>
  <si>
    <t>6010  -  Caregiver Wages</t>
  </si>
  <si>
    <t>6020  -  Med Tech Wages</t>
  </si>
  <si>
    <t>6030  -  Wellness Director</t>
  </si>
  <si>
    <t>Direct Care</t>
  </si>
  <si>
    <t>7210  -  Care Supplies</t>
  </si>
  <si>
    <t>Wages - Maintenance</t>
  </si>
  <si>
    <t>6310  -  Maintenance Wages</t>
  </si>
  <si>
    <t>Maintenance</t>
  </si>
  <si>
    <t>7610  -  Repairs &amp; Maintenance</t>
  </si>
  <si>
    <t>Utilities</t>
  </si>
  <si>
    <t>7510  -  Electricity</t>
  </si>
  <si>
    <t>7520  -  Gas</t>
  </si>
  <si>
    <t>7530  -  Water/Sewer</t>
  </si>
  <si>
    <t>7540  -  Trash</t>
  </si>
  <si>
    <t>Wages - Housekeeping</t>
  </si>
  <si>
    <t>6210  -  Housekeeping Wages</t>
  </si>
  <si>
    <t>Housekeeping</t>
  </si>
  <si>
    <t>7110  -  Housekeeping Supplies</t>
  </si>
  <si>
    <t>Wages - Marketing</t>
  </si>
  <si>
    <t>6630  -  Sales &amp; Marketing Wages</t>
  </si>
  <si>
    <t>Marketing</t>
  </si>
  <si>
    <t>7410  -  Marketing &amp; Advertising</t>
  </si>
  <si>
    <t>Wages - Admin</t>
  </si>
  <si>
    <t>6510  -  Concierge Wages</t>
  </si>
  <si>
    <t>6610  -  Business Office Manager</t>
  </si>
  <si>
    <t>6620  -  Executive Director</t>
  </si>
  <si>
    <t>Admin - IT</t>
  </si>
  <si>
    <t>7710  -  IT &amp; Telephone</t>
  </si>
  <si>
    <t>Lumped IT &amp; Telephone, no split on this HF -- best guess Admin - IT; may include telephone spend (Admin - Telephone)</t>
  </si>
  <si>
    <t>Admin</t>
  </si>
  <si>
    <t>7990  -  Other G&amp;A</t>
  </si>
  <si>
    <t>Benefits - Admin</t>
  </si>
  <si>
    <t>6710  -  Payroll Taxes</t>
  </si>
  <si>
    <t>Payroll Taxes pooled co-wide (HF: no dept split) -- no company-wide Benefits tag; best guess Benefits - Admin</t>
  </si>
  <si>
    <t>6720  -  Employee Benefits</t>
  </si>
  <si>
    <t>Employee Benefits pooled co-wide (HF: no dept split) -- no company-wide Benefits tag; best guess Benefits - Admin</t>
  </si>
  <si>
    <t>Insurance - Workers Comp</t>
  </si>
  <si>
    <t>6730  -  Workers Comp</t>
  </si>
  <si>
    <t>Business Insurance</t>
  </si>
  <si>
    <t>7810  -  Insurance</t>
  </si>
  <si>
    <t>Real Estate Taxes</t>
  </si>
  <si>
    <t>7820  -  Real Estate Taxes</t>
  </si>
  <si>
    <t>7910  -  Management Fee</t>
  </si>
  <si>
    <t>Rent Revenue - TC</t>
  </si>
  <si>
    <t>Rent Concessions</t>
  </si>
  <si>
    <t>Commercial Lease Revenue</t>
  </si>
  <si>
    <t>Bonuses - Marketing</t>
  </si>
  <si>
    <t>Bonuses - Admin</t>
  </si>
  <si>
    <t>Contract Labor - Maintenance</t>
  </si>
  <si>
    <t>Contract Labor - Marketing</t>
  </si>
  <si>
    <t>Contract Labor - Culinary</t>
  </si>
  <si>
    <t>Contract Labor - Activities</t>
  </si>
  <si>
    <t>Contract Labor - Admin</t>
  </si>
  <si>
    <t>Contract Labor - Direct Care</t>
  </si>
  <si>
    <t>Contract Labor - Housekeeping</t>
  </si>
  <si>
    <t>Benefits - Activities</t>
  </si>
  <si>
    <t>Benefits - Culinary</t>
  </si>
  <si>
    <t>Benefits - Direct Care</t>
  </si>
  <si>
    <t>Benefits - Marketing</t>
  </si>
  <si>
    <t>Benefits - Housekeeping</t>
  </si>
  <si>
    <t>Benefits - Maintenance</t>
  </si>
  <si>
    <t>Activities</t>
  </si>
  <si>
    <t>COGS</t>
  </si>
  <si>
    <t>Marketing - Contract Services</t>
  </si>
  <si>
    <t>Marketing - Referral Fees</t>
  </si>
  <si>
    <t>Admin - Health &amp; Dental</t>
  </si>
  <si>
    <t>Admin - Vehicle Lease</t>
  </si>
  <si>
    <t>Admin - Travel</t>
  </si>
  <si>
    <t>Admin - Telephone</t>
  </si>
  <si>
    <t>Admin - Legal</t>
  </si>
  <si>
    <t>Admin - Bad Debt</t>
  </si>
  <si>
    <t>Admin - Bank &amp; Payroll Fees</t>
  </si>
  <si>
    <t>Admin - Other Expense</t>
  </si>
  <si>
    <t>Insurance - Other</t>
  </si>
  <si>
    <t>Other Taxes</t>
  </si>
  <si>
    <t>Non-Departmental</t>
  </si>
  <si>
    <t>Ignore</t>
  </si>
  <si>
    <t>Aster Ridge Senior Living (DEMO) -- Occupancy Report</t>
  </si>
  <si>
    <t>Jul 2024 - Jun 2026</t>
  </si>
  <si>
    <t>Month</t>
  </si>
  <si>
    <t>Capacity</t>
  </si>
  <si>
    <t>IL</t>
  </si>
  <si>
    <t>AL</t>
  </si>
  <si>
    <t>MC</t>
  </si>
  <si>
    <t>Occupied (Month-End)</t>
  </si>
  <si>
    <t>Output</t>
  </si>
  <si>
    <t>Days</t>
  </si>
  <si>
    <t>Occupied</t>
  </si>
  <si>
    <t>Avg Occ %</t>
  </si>
  <si>
    <t>Occ %</t>
  </si>
  <si>
    <t>PRD</t>
  </si>
  <si>
    <t>AL Rent</t>
  </si>
  <si>
    <t>IL Rent</t>
  </si>
  <si>
    <t>TC Rent</t>
  </si>
  <si>
    <t>MC Rent</t>
  </si>
  <si>
    <t>AL Care</t>
  </si>
  <si>
    <t>MC Care</t>
  </si>
  <si>
    <t>Total Revenue</t>
  </si>
  <si>
    <t>In-House Labor</t>
  </si>
  <si>
    <t>Total Labor</t>
  </si>
  <si>
    <t>Total Labor &amp; Benefits</t>
  </si>
  <si>
    <t>Total Opex</t>
  </si>
  <si>
    <t>EBITDARM</t>
  </si>
  <si>
    <t>EBITDAR</t>
  </si>
  <si>
    <t>Units</t>
  </si>
  <si>
    <t>Occupied Units</t>
  </si>
  <si>
    <t>Residents/Occupied Units</t>
  </si>
  <si>
    <t>Resident Days</t>
  </si>
  <si>
    <t>Total Benefits</t>
  </si>
  <si>
    <t xml:space="preserve">$ Unit </t>
  </si>
  <si>
    <t>$K/Property</t>
  </si>
  <si>
    <t>Benefits &amp; PR Taxes</t>
  </si>
  <si>
    <t>% Labor</t>
  </si>
  <si>
    <t>$ PRD</t>
  </si>
  <si>
    <t>% Rent+Care</t>
  </si>
  <si>
    <t>$ Unit</t>
  </si>
  <si>
    <t>% Revenue</t>
  </si>
  <si>
    <t>Capex Reserve</t>
  </si>
  <si>
    <t>Ok</t>
  </si>
  <si>
    <t>T12</t>
  </si>
  <si>
    <t>T6</t>
  </si>
  <si>
    <t>T3</t>
  </si>
  <si>
    <t>Aster Ridge (Demo) - .H Model - Notes</t>
  </si>
  <si>
    <t>Last updated 2026-07-29. Read before using this model.</t>
  </si>
  <si>
    <t>SYNTHETIC DEMO DATA</t>
  </si>
  <si>
    <t>Aster Ridge Senior Living is a FICTIONAL community. Every figure in this workbook is</t>
  </si>
  <si>
    <t>fabricated for a public process demonstration - see FABRICATION-SPEC.md in the deal folder.</t>
  </si>
  <si>
    <t>No real deal data anywhere in this file.</t>
  </si>
  <si>
    <t>MAPPING RULINGS - pipeline agents, 2026-07-29 demo build</t>
  </si>
  <si>
    <t>Pooled payroll taxes and benefits</t>
  </si>
  <si>
    <t xml:space="preserve">   Operator GL pools 6710 Payroll Taxes / 6720 Employee Benefits company-wide (no department</t>
  </si>
  <si>
    <t xml:space="preserve">   split). RULING: mapped to Benefits - Admin (no company-wide tag on the master list).</t>
  </si>
  <si>
    <t xml:space="preserve">   IMPACT: departmental Benefits roll-up rows read 0; the full ,527/yr sits in Benefits -</t>
  </si>
  <si>
    <t xml:space="preserve">   Admin; the payroll-burden metric is pooled-safe by construction (reads 16.85%). Do not</t>
  </si>
  <si>
    <t xml:space="preserve">   benchmark departmental benefits lines on this model.</t>
  </si>
  <si>
    <t>Lumped IT and telephone</t>
  </si>
  <si>
    <t xml:space="preserve">   7710 IT &amp; Telephone is one GL line. RULING: mapped to Admin - IT (,120/yr). IMPACT:</t>
  </si>
  <si>
    <t xml:space="preserve">   Admin - Telephone roll-up reads 0; telephone spend is inside Admin - IT.</t>
  </si>
  <si>
    <t>Pooled care labor</t>
  </si>
  <si>
    <t xml:space="preserve">   Caregiver / Med Tech / Wellness Director wages + Care Supplies are pooled across AL/MC</t>
  </si>
  <si>
    <t xml:space="preserve">   with no operator split. RULING: kept as one flagged block, mapped to the single Direct</t>
  </si>
  <si>
    <t xml:space="preserve">   Care tags; no AL/MC allocation invented.</t>
  </si>
  <si>
    <t>Concierge wages</t>
  </si>
  <si>
    <t xml:space="preserve">   No dedicated tag. RULING: mapped to Wages - Admin by function (corpus precedent).</t>
  </si>
  <si>
    <t>SIGN-OFF</t>
  </si>
  <si>
    <t xml:space="preserve">   Rulings made by the pipeline agents 2026-07-29 during the demo build. Sign-off status:</t>
  </si>
  <si>
    <t xml:space="preserve">   demo (no broker to query).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</si>
</sst>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0.0%"/>
    <numFmt numFmtId="165" formatCode="mm\-dd\-yy"/>
    <numFmt numFmtId="166" formatCode="#,##0.0%_);\(#,##0.0%\)"/>
    <numFmt numFmtId="167" formatCode="#,##0.00\x"/>
    <numFmt numFmtId="168" formatCode="#,##0.00%_);\(#,##0.00%\)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color rgb="FF505050"/>
      <name val="Tahoma"/>
      <family val="2"/>
    </font>
    <font>
      <b/>
      <sz val="12"/>
      <color theme="1"/>
      <name val="Tahoma"/>
      <family val="2"/>
    </font>
    <font>
      <b/>
      <sz val="11"/>
      <color rgb="FFFFFFFF"/>
      <name val="Aptos Narrow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9"/>
      <color rgb="FF0000FF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9"/>
      <color rgb="FF008000"/>
      <name val="Calibri"/>
      <family val="2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F96AF"/>
        <bgColor indexed="64"/>
      </patternFill>
    </fill>
    <fill>
      <patternFill patternType="solid">
        <fgColor rgb="FFFFFFCB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17" fontId="1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/>
    <xf numFmtId="17" fontId="5" fillId="2" borderId="0" xfId="0" applyNumberFormat="1" applyFont="1" applyFill="1"/>
    <xf numFmtId="0" fontId="6" fillId="0" borderId="0" xfId="0" applyFont="1"/>
    <xf numFmtId="41" fontId="0" fillId="0" borderId="0" xfId="0" applyNumberFormat="1"/>
    <xf numFmtId="0" fontId="1" fillId="0" borderId="1" xfId="0" applyFont="1" applyBorder="1"/>
    <xf numFmtId="41" fontId="1" fillId="0" borderId="1" xfId="0" applyNumberFormat="1" applyFont="1" applyBorder="1"/>
    <xf numFmtId="164" fontId="0" fillId="0" borderId="0" xfId="0" applyNumberFormat="1"/>
    <xf numFmtId="0" fontId="8" fillId="0" borderId="0" xfId="0" applyFont="1"/>
    <xf numFmtId="0" fontId="9" fillId="0" borderId="2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13" fillId="3" borderId="0" xfId="0" applyFont="1" applyFill="1"/>
    <xf numFmtId="0" fontId="1" fillId="4" borderId="2" xfId="0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0" fillId="0" borderId="0" xfId="0" applyNumberFormat="1" applyAlignment="1">
      <alignment horizontal="right"/>
    </xf>
    <xf numFmtId="41" fontId="1" fillId="0" borderId="3" xfId="0" applyNumberFormat="1" applyFont="1" applyBorder="1" applyAlignment="1">
      <alignment horizontal="right"/>
    </xf>
    <xf numFmtId="10" fontId="0" fillId="0" borderId="0" xfId="0" applyNumberFormat="1" applyAlignment="1">
      <alignment horizontal="right"/>
    </xf>
    <xf numFmtId="0" fontId="15" fillId="0" borderId="0" xfId="0" applyFont="1"/>
    <xf numFmtId="0" fontId="17" fillId="0" borderId="0" xfId="0" applyFont="1"/>
    <xf numFmtId="14" fontId="18" fillId="4" borderId="2" xfId="0" applyNumberFormat="1" applyFont="1" applyFill="1" applyBorder="1"/>
    <xf numFmtId="14" fontId="19" fillId="4" borderId="2" xfId="0" applyNumberFormat="1" applyFont="1" applyFill="1" applyBorder="1"/>
    <xf numFmtId="10" fontId="0" fillId="0" borderId="0" xfId="0" applyNumberFormat="1"/>
    <xf numFmtId="9" fontId="14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6" fontId="0" fillId="0" borderId="0" xfId="0" applyNumberFormat="1"/>
    <xf numFmtId="37" fontId="0" fillId="0" borderId="0" xfId="0" applyNumberFormat="1"/>
    <xf numFmtId="37" fontId="14" fillId="0" borderId="0" xfId="0" applyNumberFormat="1" applyFont="1"/>
    <xf numFmtId="37" fontId="1" fillId="0" borderId="0" xfId="0" applyNumberFormat="1" applyFont="1"/>
    <xf numFmtId="37" fontId="14" fillId="0" borderId="2" xfId="0" applyNumberFormat="1" applyFont="1" applyBorder="1"/>
    <xf numFmtId="37" fontId="1" fillId="0" borderId="3" xfId="0" applyNumberFormat="1" applyFont="1" applyBorder="1"/>
    <xf numFmtId="37" fontId="0" fillId="0" borderId="2" xfId="0" applyNumberFormat="1" applyBorder="1"/>
    <xf numFmtId="9" fontId="14" fillId="0" borderId="2" xfId="0" applyNumberFormat="1" applyFont="1" applyBorder="1" applyAlignment="1">
      <alignment horizontal="right"/>
    </xf>
    <xf numFmtId="166" fontId="0" fillId="0" borderId="3" xfId="0" applyNumberFormat="1" applyBorder="1"/>
    <xf numFmtId="4" fontId="0" fillId="0" borderId="0" xfId="0" applyNumberFormat="1"/>
    <xf numFmtId="4" fontId="0" fillId="5" borderId="0" xfId="0" applyNumberFormat="1" applyFill="1"/>
    <xf numFmtId="41" fontId="0" fillId="0" borderId="3" xfId="0" applyNumberFormat="1" applyBorder="1"/>
    <xf numFmtId="41" fontId="0" fillId="0" borderId="1" xfId="0" applyNumberFormat="1" applyBorder="1"/>
    <xf numFmtId="37" fontId="1" fillId="0" borderId="1" xfId="0" applyNumberFormat="1" applyFont="1" applyBorder="1"/>
    <xf numFmtId="37" fontId="1" fillId="0" borderId="4" xfId="0" applyNumberFormat="1" applyFont="1" applyBorder="1"/>
    <xf numFmtId="167" fontId="0" fillId="6" borderId="0" xfId="0" applyNumberFormat="1" applyFill="1"/>
    <xf numFmtId="167" fontId="0" fillId="0" borderId="0" xfId="0" applyNumberFormat="1"/>
    <xf numFmtId="166" fontId="17" fillId="0" borderId="0" xfId="0" applyNumberFormat="1" applyFont="1"/>
    <xf numFmtId="168" fontId="17" fillId="0" borderId="0" xfId="0" applyNumberFormat="1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14" fontId="1" fillId="4" borderId="2" xfId="0" applyNumberFormat="1" applyFont="1" applyFill="1" applyBorder="1" applyAlignment="1">
      <alignment horizontal="right"/>
    </xf>
    <xf numFmtId="0" fontId="0" fillId="0" borderId="3" xfId="0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54E4-DFB0-4481-A7AA-AF7AB0D46D3A}">
  <dimension ref="B1:B32"/>
  <sheetViews>
    <sheetView showGridLines="0" tabSelected="1" workbookViewId="0"/>
  </sheetViews>
  <sheetFormatPr defaultRowHeight="15" x14ac:dyDescent="0.25"/>
  <cols>
    <col min="1" max="1" width="3.7109375" customWidth="1"/>
    <col min="2" max="2" width="105.7109375" customWidth="1"/>
  </cols>
  <sheetData>
    <row r="1" spans="2:2" ht="18.75" x14ac:dyDescent="0.3">
      <c r="B1" s="58" t="s">
        <v>221</v>
      </c>
    </row>
    <row r="2" spans="2:2" x14ac:dyDescent="0.25">
      <c r="B2" s="59" t="s">
        <v>222</v>
      </c>
    </row>
    <row r="3" spans="2:2" x14ac:dyDescent="0.25">
      <c r="B3" s="59"/>
    </row>
    <row r="4" spans="2:2" x14ac:dyDescent="0.25">
      <c r="B4" s="60" t="s">
        <v>223</v>
      </c>
    </row>
    <row r="5" spans="2:2" x14ac:dyDescent="0.25">
      <c r="B5" s="61" t="s">
        <v>224</v>
      </c>
    </row>
    <row r="6" spans="2:2" x14ac:dyDescent="0.25">
      <c r="B6" s="61" t="s">
        <v>225</v>
      </c>
    </row>
    <row r="7" spans="2:2" x14ac:dyDescent="0.25">
      <c r="B7" s="62" t="s">
        <v>226</v>
      </c>
    </row>
    <row r="8" spans="2:2" x14ac:dyDescent="0.25">
      <c r="B8" s="59"/>
    </row>
    <row r="9" spans="2:2" x14ac:dyDescent="0.25">
      <c r="B9" s="63" t="s">
        <v>227</v>
      </c>
    </row>
    <row r="10" spans="2:2" x14ac:dyDescent="0.25">
      <c r="B10" s="59"/>
    </row>
    <row r="11" spans="2:2" x14ac:dyDescent="0.25">
      <c r="B11" s="64" t="s">
        <v>228</v>
      </c>
    </row>
    <row r="12" spans="2:2" x14ac:dyDescent="0.25">
      <c r="B12" s="59" t="s">
        <v>229</v>
      </c>
    </row>
    <row r="13" spans="2:2" x14ac:dyDescent="0.25">
      <c r="B13" s="59" t="s">
        <v>230</v>
      </c>
    </row>
    <row r="14" spans="2:2" x14ac:dyDescent="0.25">
      <c r="B14" s="59" t="s">
        <v>231</v>
      </c>
    </row>
    <row r="15" spans="2:2" x14ac:dyDescent="0.25">
      <c r="B15" s="59" t="s">
        <v>232</v>
      </c>
    </row>
    <row r="16" spans="2:2" x14ac:dyDescent="0.25">
      <c r="B16" s="59" t="s">
        <v>233</v>
      </c>
    </row>
    <row r="17" spans="2:2" x14ac:dyDescent="0.25">
      <c r="B17" s="59"/>
    </row>
    <row r="18" spans="2:2" x14ac:dyDescent="0.25">
      <c r="B18" s="64" t="s">
        <v>234</v>
      </c>
    </row>
    <row r="19" spans="2:2" x14ac:dyDescent="0.25">
      <c r="B19" s="59" t="s">
        <v>235</v>
      </c>
    </row>
    <row r="20" spans="2:2" x14ac:dyDescent="0.25">
      <c r="B20" s="59" t="s">
        <v>236</v>
      </c>
    </row>
    <row r="21" spans="2:2" x14ac:dyDescent="0.25">
      <c r="B21" s="59"/>
    </row>
    <row r="22" spans="2:2" x14ac:dyDescent="0.25">
      <c r="B22" s="64" t="s">
        <v>237</v>
      </c>
    </row>
    <row r="23" spans="2:2" x14ac:dyDescent="0.25">
      <c r="B23" s="59" t="s">
        <v>238</v>
      </c>
    </row>
    <row r="24" spans="2:2" x14ac:dyDescent="0.25">
      <c r="B24" s="59" t="s">
        <v>239</v>
      </c>
    </row>
    <row r="25" spans="2:2" x14ac:dyDescent="0.25">
      <c r="B25" s="59" t="s">
        <v>240</v>
      </c>
    </row>
    <row r="26" spans="2:2" x14ac:dyDescent="0.25">
      <c r="B26" s="59"/>
    </row>
    <row r="27" spans="2:2" x14ac:dyDescent="0.25">
      <c r="B27" s="64" t="s">
        <v>241</v>
      </c>
    </row>
    <row r="28" spans="2:2" x14ac:dyDescent="0.25">
      <c r="B28" s="59" t="s">
        <v>242</v>
      </c>
    </row>
    <row r="29" spans="2:2" x14ac:dyDescent="0.25">
      <c r="B29" s="59"/>
    </row>
    <row r="30" spans="2:2" x14ac:dyDescent="0.25">
      <c r="B30" s="63" t="s">
        <v>243</v>
      </c>
    </row>
    <row r="31" spans="2:2" x14ac:dyDescent="0.25">
      <c r="B31" s="59" t="s">
        <v>244</v>
      </c>
    </row>
    <row r="32" spans="2:2" x14ac:dyDescent="0.25">
      <c r="B32" s="59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4D12-A9B0-46A8-B22C-502BC4711DC4}">
  <dimension ref="B2:U231"/>
  <sheetViews>
    <sheetView showGridLines="0" workbookViewId="0"/>
  </sheetViews>
  <sheetFormatPr defaultRowHeight="15" x14ac:dyDescent="0.25"/>
  <cols>
    <col min="1" max="1" width="9.28515625" customWidth="1"/>
    <col min="2" max="2" width="25.7109375" customWidth="1"/>
    <col min="3" max="3" width="19.7109375" customWidth="1"/>
    <col min="4" max="4" width="37.28515625" customWidth="1"/>
    <col min="5" max="17" width="12.85546875" customWidth="1"/>
    <col min="18" max="18" width="31.28515625" customWidth="1"/>
    <col min="19" max="21" width="11.7109375" customWidth="1"/>
  </cols>
  <sheetData>
    <row r="2" spans="3:21" x14ac:dyDescent="0.25">
      <c r="S2" s="55">
        <v>1</v>
      </c>
      <c r="T2" s="55">
        <v>2</v>
      </c>
      <c r="U2" s="55">
        <v>4</v>
      </c>
    </row>
    <row r="3" spans="3:21" x14ac:dyDescent="0.25">
      <c r="S3" s="53" t="s">
        <v>218</v>
      </c>
      <c r="T3" s="53" t="s">
        <v>219</v>
      </c>
      <c r="U3" s="53" t="s">
        <v>220</v>
      </c>
    </row>
    <row r="4" spans="3:21" x14ac:dyDescent="0.25">
      <c r="S4" s="54">
        <f>F5</f>
        <v>45869</v>
      </c>
      <c r="T4" s="54">
        <f>+EOMONTH(S4,6)</f>
        <v>46053</v>
      </c>
      <c r="U4" s="54">
        <f>+EOMONTH(T4,3)</f>
        <v>46142</v>
      </c>
    </row>
    <row r="5" spans="3:21" x14ac:dyDescent="0.25">
      <c r="F5" s="29">
        <v>45869</v>
      </c>
      <c r="G5" s="30">
        <f t="shared" ref="G5:Q5" si="0">EOMONTH(F5,1)</f>
        <v>45900</v>
      </c>
      <c r="H5" s="30">
        <f t="shared" si="0"/>
        <v>45930</v>
      </c>
      <c r="I5" s="30">
        <f t="shared" si="0"/>
        <v>45961</v>
      </c>
      <c r="J5" s="30">
        <f t="shared" si="0"/>
        <v>45991</v>
      </c>
      <c r="K5" s="30">
        <f t="shared" si="0"/>
        <v>46022</v>
      </c>
      <c r="L5" s="30">
        <f t="shared" si="0"/>
        <v>46053</v>
      </c>
      <c r="M5" s="30">
        <f t="shared" si="0"/>
        <v>46081</v>
      </c>
      <c r="N5" s="30">
        <f t="shared" si="0"/>
        <v>46112</v>
      </c>
      <c r="O5" s="30">
        <f t="shared" si="0"/>
        <v>46142</v>
      </c>
      <c r="P5" s="30">
        <f t="shared" si="0"/>
        <v>46173</v>
      </c>
      <c r="Q5" s="30">
        <f t="shared" si="0"/>
        <v>46203</v>
      </c>
      <c r="S5" s="56">
        <f>Q5</f>
        <v>46203</v>
      </c>
      <c r="T5" s="56">
        <f>+S5</f>
        <v>46203</v>
      </c>
      <c r="U5" s="56">
        <f>+T5</f>
        <v>46203</v>
      </c>
    </row>
    <row r="6" spans="3:21" x14ac:dyDescent="0.25">
      <c r="S6" s="57"/>
      <c r="T6" s="57"/>
      <c r="U6" s="57"/>
    </row>
    <row r="7" spans="3:21" x14ac:dyDescent="0.25">
      <c r="D7" t="s">
        <v>185</v>
      </c>
      <c r="F7" s="35">
        <f t="shared" ref="F7:Q7" si="1">DAY(EOMONTH(F5,0))</f>
        <v>31</v>
      </c>
      <c r="G7" s="35">
        <f t="shared" si="1"/>
        <v>31</v>
      </c>
      <c r="H7" s="35">
        <f t="shared" si="1"/>
        <v>30</v>
      </c>
      <c r="I7" s="35">
        <f t="shared" si="1"/>
        <v>31</v>
      </c>
      <c r="J7" s="35">
        <f t="shared" si="1"/>
        <v>30</v>
      </c>
      <c r="K7" s="35">
        <f t="shared" si="1"/>
        <v>31</v>
      </c>
      <c r="L7" s="35">
        <f t="shared" si="1"/>
        <v>31</v>
      </c>
      <c r="M7" s="35">
        <f t="shared" si="1"/>
        <v>28</v>
      </c>
      <c r="N7" s="35">
        <f t="shared" si="1"/>
        <v>31</v>
      </c>
      <c r="O7" s="35">
        <f t="shared" si="1"/>
        <v>30</v>
      </c>
      <c r="P7" s="35">
        <f t="shared" si="1"/>
        <v>31</v>
      </c>
      <c r="Q7" s="35">
        <f t="shared" si="1"/>
        <v>30</v>
      </c>
      <c r="R7" s="35"/>
      <c r="S7" s="35">
        <f>IFERROR(SUMIFS($E7:$Q7,$E$5:$Q$5,"&gt;="&amp;S$4,$E$5:$Q$5,"&lt;="&amp;S$5),0)*S$2</f>
        <v>365</v>
      </c>
      <c r="T7" s="35">
        <f>IFERROR(SUMIFS($E7:$Q7,$E$5:$Q$5,"&gt;="&amp;T$4,$E$5:$Q$5,"&lt;="&amp;T$5),0)*T$2</f>
        <v>362</v>
      </c>
      <c r="U7" s="35">
        <f>IFERROR(SUMIFS($E7:$Q7,$E$5:$Q$5,"&gt;="&amp;U$4,$E$5:$Q$5,"&lt;="&amp;U$5),0)*U$2</f>
        <v>364</v>
      </c>
    </row>
    <row r="9" spans="3:21" x14ac:dyDescent="0.25">
      <c r="C9" t="s">
        <v>179</v>
      </c>
      <c r="D9" t="s">
        <v>180</v>
      </c>
      <c r="F9" s="36">
        <f>Census!E24</f>
        <v>40</v>
      </c>
      <c r="G9" s="36">
        <f>Census!F24</f>
        <v>40</v>
      </c>
      <c r="H9" s="36">
        <f>Census!G24</f>
        <v>40</v>
      </c>
      <c r="I9" s="36">
        <f>Census!H24</f>
        <v>40</v>
      </c>
      <c r="J9" s="36">
        <f>Census!I24</f>
        <v>40</v>
      </c>
      <c r="K9" s="36">
        <f>Census!J24</f>
        <v>40</v>
      </c>
      <c r="L9" s="36">
        <f>Census!K24</f>
        <v>40</v>
      </c>
      <c r="M9" s="36">
        <f>Census!L24</f>
        <v>40</v>
      </c>
      <c r="N9" s="36">
        <f>Census!M24</f>
        <v>40</v>
      </c>
      <c r="O9" s="36">
        <f>Census!N24</f>
        <v>40</v>
      </c>
      <c r="P9" s="36">
        <f>Census!O24</f>
        <v>40</v>
      </c>
      <c r="Q9" s="36">
        <f>Census!P24</f>
        <v>40</v>
      </c>
      <c r="R9" s="35"/>
      <c r="S9" s="35">
        <f t="shared" ref="S9:U11" si="2">+IFERROR(AVERAGEIFS($E9:$Q9,$E$5:$Q$5,"&gt;="&amp;S$4,$E$5:$Q$5,"&lt;="&amp;S$5),"NA")</f>
        <v>40</v>
      </c>
      <c r="T9" s="35">
        <f t="shared" si="2"/>
        <v>40</v>
      </c>
      <c r="U9" s="35">
        <f t="shared" si="2"/>
        <v>40</v>
      </c>
    </row>
    <row r="10" spans="3:21" x14ac:dyDescent="0.25">
      <c r="C10" t="s">
        <v>179</v>
      </c>
      <c r="D10" t="s">
        <v>181</v>
      </c>
      <c r="F10" s="36">
        <f>Census!E25</f>
        <v>30</v>
      </c>
      <c r="G10" s="36">
        <f>Census!F25</f>
        <v>30</v>
      </c>
      <c r="H10" s="36">
        <f>Census!G25</f>
        <v>30</v>
      </c>
      <c r="I10" s="36">
        <f>Census!H25</f>
        <v>30</v>
      </c>
      <c r="J10" s="36">
        <f>Census!I25</f>
        <v>30</v>
      </c>
      <c r="K10" s="36">
        <f>Census!J25</f>
        <v>30</v>
      </c>
      <c r="L10" s="36">
        <f>Census!K25</f>
        <v>30</v>
      </c>
      <c r="M10" s="36">
        <f>Census!L25</f>
        <v>30</v>
      </c>
      <c r="N10" s="36">
        <f>Census!M25</f>
        <v>30</v>
      </c>
      <c r="O10" s="36">
        <f>Census!N25</f>
        <v>30</v>
      </c>
      <c r="P10" s="36">
        <f>Census!O25</f>
        <v>30</v>
      </c>
      <c r="Q10" s="36">
        <f>Census!P25</f>
        <v>30</v>
      </c>
      <c r="R10" s="35"/>
      <c r="S10" s="35">
        <f t="shared" si="2"/>
        <v>30</v>
      </c>
      <c r="T10" s="35">
        <f t="shared" si="2"/>
        <v>30</v>
      </c>
      <c r="U10" s="35">
        <f t="shared" si="2"/>
        <v>30</v>
      </c>
    </row>
    <row r="11" spans="3:21" x14ac:dyDescent="0.25">
      <c r="C11" t="s">
        <v>179</v>
      </c>
      <c r="D11" t="s">
        <v>182</v>
      </c>
      <c r="F11" s="38">
        <f>Census!E26</f>
        <v>14</v>
      </c>
      <c r="G11" s="38">
        <f>Census!F26</f>
        <v>14</v>
      </c>
      <c r="H11" s="38">
        <f>Census!G26</f>
        <v>14</v>
      </c>
      <c r="I11" s="38">
        <f>Census!H26</f>
        <v>14</v>
      </c>
      <c r="J11" s="38">
        <f>Census!I26</f>
        <v>14</v>
      </c>
      <c r="K11" s="38">
        <f>Census!J26</f>
        <v>14</v>
      </c>
      <c r="L11" s="38">
        <f>Census!K26</f>
        <v>14</v>
      </c>
      <c r="M11" s="38">
        <f>Census!L26</f>
        <v>14</v>
      </c>
      <c r="N11" s="38">
        <f>Census!M26</f>
        <v>14</v>
      </c>
      <c r="O11" s="38">
        <f>Census!N26</f>
        <v>14</v>
      </c>
      <c r="P11" s="38">
        <f>Census!O26</f>
        <v>14</v>
      </c>
      <c r="Q11" s="38">
        <f>Census!P26</f>
        <v>14</v>
      </c>
      <c r="R11" s="35"/>
      <c r="S11" s="35">
        <f t="shared" si="2"/>
        <v>14</v>
      </c>
      <c r="T11" s="35">
        <f t="shared" si="2"/>
        <v>14</v>
      </c>
      <c r="U11" s="35">
        <f t="shared" si="2"/>
        <v>14</v>
      </c>
    </row>
    <row r="12" spans="3:21" x14ac:dyDescent="0.25">
      <c r="C12" t="s">
        <v>179</v>
      </c>
      <c r="D12" t="s">
        <v>5</v>
      </c>
      <c r="F12" s="39">
        <f t="shared" ref="F12:Q12" si="3">SUM(F9:F11)</f>
        <v>84</v>
      </c>
      <c r="G12" s="39">
        <f t="shared" si="3"/>
        <v>84</v>
      </c>
      <c r="H12" s="39">
        <f t="shared" si="3"/>
        <v>84</v>
      </c>
      <c r="I12" s="39">
        <f t="shared" si="3"/>
        <v>84</v>
      </c>
      <c r="J12" s="39">
        <f t="shared" si="3"/>
        <v>84</v>
      </c>
      <c r="K12" s="39">
        <f t="shared" si="3"/>
        <v>84</v>
      </c>
      <c r="L12" s="39">
        <f t="shared" si="3"/>
        <v>84</v>
      </c>
      <c r="M12" s="39">
        <f t="shared" si="3"/>
        <v>84</v>
      </c>
      <c r="N12" s="39">
        <f t="shared" si="3"/>
        <v>84</v>
      </c>
      <c r="O12" s="39">
        <f t="shared" si="3"/>
        <v>84</v>
      </c>
      <c r="P12" s="39">
        <f t="shared" si="3"/>
        <v>84</v>
      </c>
      <c r="Q12" s="39">
        <f t="shared" si="3"/>
        <v>84</v>
      </c>
      <c r="R12" s="37"/>
      <c r="S12" s="37">
        <f>+AVERAGEIFS($E12:$Q12,$E$5:$Q$5,"&gt;="&amp;S$4,$E$5:$Q$5,"&lt;="&amp;S$5)</f>
        <v>84</v>
      </c>
      <c r="T12" s="37">
        <f>+AVERAGEIFS($E12:$Q12,$E$5:$Q$5,"&gt;="&amp;T$4,$E$5:$Q$5,"&lt;="&amp;T$5)</f>
        <v>84</v>
      </c>
      <c r="U12" s="37">
        <f>+AVERAGEIFS($E12:$Q12,$E$5:$Q$5,"&gt;="&amp;U$4,$E$5:$Q$5,"&lt;="&amp;U$5)</f>
        <v>84</v>
      </c>
    </row>
    <row r="14" spans="3:21" x14ac:dyDescent="0.25">
      <c r="C14" t="s">
        <v>186</v>
      </c>
      <c r="D14" t="s">
        <v>180</v>
      </c>
      <c r="F14" s="35">
        <f t="shared" ref="F14:Q14" si="4">F19*F9</f>
        <v>34</v>
      </c>
      <c r="G14" s="35">
        <f t="shared" si="4"/>
        <v>34</v>
      </c>
      <c r="H14" s="35">
        <f t="shared" si="4"/>
        <v>35</v>
      </c>
      <c r="I14" s="35">
        <f t="shared" si="4"/>
        <v>35</v>
      </c>
      <c r="J14" s="35">
        <f t="shared" si="4"/>
        <v>36</v>
      </c>
      <c r="K14" s="35">
        <f t="shared" si="4"/>
        <v>36</v>
      </c>
      <c r="L14" s="35">
        <f t="shared" si="4"/>
        <v>36</v>
      </c>
      <c r="M14" s="35">
        <f t="shared" si="4"/>
        <v>35</v>
      </c>
      <c r="N14" s="35">
        <f t="shared" si="4"/>
        <v>36</v>
      </c>
      <c r="O14" s="35">
        <f t="shared" si="4"/>
        <v>36</v>
      </c>
      <c r="P14" s="35">
        <f t="shared" si="4"/>
        <v>37</v>
      </c>
      <c r="Q14" s="35">
        <f t="shared" si="4"/>
        <v>37</v>
      </c>
      <c r="R14" s="35"/>
      <c r="S14" s="35">
        <f t="shared" ref="S14:U16" si="5">+IFERROR(AVERAGEIFS($E14:$Q14,$E$5:$Q$5,"&gt;="&amp;S$4,$E$5:$Q$5,"&lt;="&amp;S$5),"NA")</f>
        <v>35.583333333333336</v>
      </c>
      <c r="T14" s="35">
        <f t="shared" si="5"/>
        <v>36.166666666666664</v>
      </c>
      <c r="U14" s="35">
        <f t="shared" si="5"/>
        <v>36.666666666666664</v>
      </c>
    </row>
    <row r="15" spans="3:21" x14ac:dyDescent="0.25">
      <c r="C15" t="s">
        <v>186</v>
      </c>
      <c r="D15" t="s">
        <v>181</v>
      </c>
      <c r="F15" s="35">
        <f t="shared" ref="F15:Q15" si="6">F20*F10</f>
        <v>26</v>
      </c>
      <c r="G15" s="35">
        <f t="shared" si="6"/>
        <v>27</v>
      </c>
      <c r="H15" s="35">
        <f t="shared" si="6"/>
        <v>27</v>
      </c>
      <c r="I15" s="35">
        <f t="shared" si="6"/>
        <v>26</v>
      </c>
      <c r="J15" s="35">
        <f t="shared" si="6"/>
        <v>27</v>
      </c>
      <c r="K15" s="35">
        <f t="shared" si="6"/>
        <v>28</v>
      </c>
      <c r="L15" s="35">
        <f t="shared" si="6"/>
        <v>28</v>
      </c>
      <c r="M15" s="35">
        <f t="shared" si="6"/>
        <v>27</v>
      </c>
      <c r="N15" s="35">
        <f t="shared" si="6"/>
        <v>27</v>
      </c>
      <c r="O15" s="35">
        <f t="shared" si="6"/>
        <v>28</v>
      </c>
      <c r="P15" s="35">
        <f t="shared" si="6"/>
        <v>28</v>
      </c>
      <c r="Q15" s="35">
        <f t="shared" si="6"/>
        <v>28</v>
      </c>
      <c r="R15" s="35"/>
      <c r="S15" s="35">
        <f t="shared" si="5"/>
        <v>27.25</v>
      </c>
      <c r="T15" s="35">
        <f t="shared" si="5"/>
        <v>27.666666666666668</v>
      </c>
      <c r="U15" s="35">
        <f t="shared" si="5"/>
        <v>28</v>
      </c>
    </row>
    <row r="16" spans="3:21" x14ac:dyDescent="0.25">
      <c r="C16" t="s">
        <v>186</v>
      </c>
      <c r="D16" t="s">
        <v>182</v>
      </c>
      <c r="F16" s="40">
        <f t="shared" ref="F16:Q16" si="7">F21*F11</f>
        <v>11</v>
      </c>
      <c r="G16" s="40">
        <f t="shared" si="7"/>
        <v>12</v>
      </c>
      <c r="H16" s="40">
        <f t="shared" si="7"/>
        <v>12</v>
      </c>
      <c r="I16" s="40">
        <f t="shared" si="7"/>
        <v>12</v>
      </c>
      <c r="J16" s="40">
        <f t="shared" si="7"/>
        <v>13</v>
      </c>
      <c r="K16" s="40">
        <f t="shared" si="7"/>
        <v>12</v>
      </c>
      <c r="L16" s="40">
        <f t="shared" si="7"/>
        <v>12</v>
      </c>
      <c r="M16" s="40">
        <f t="shared" si="7"/>
        <v>13</v>
      </c>
      <c r="N16" s="40">
        <f t="shared" si="7"/>
        <v>13</v>
      </c>
      <c r="O16" s="40">
        <f t="shared" si="7"/>
        <v>12</v>
      </c>
      <c r="P16" s="40">
        <f t="shared" si="7"/>
        <v>13</v>
      </c>
      <c r="Q16" s="40">
        <f t="shared" si="7"/>
        <v>13</v>
      </c>
      <c r="R16" s="35"/>
      <c r="S16" s="35">
        <f t="shared" si="5"/>
        <v>12.333333333333334</v>
      </c>
      <c r="T16" s="35">
        <f t="shared" si="5"/>
        <v>12.666666666666666</v>
      </c>
      <c r="U16" s="35">
        <f t="shared" si="5"/>
        <v>12.666666666666666</v>
      </c>
    </row>
    <row r="17" spans="2:21" x14ac:dyDescent="0.25">
      <c r="C17" t="s">
        <v>186</v>
      </c>
      <c r="D17" t="s">
        <v>5</v>
      </c>
      <c r="F17" s="39">
        <f t="shared" ref="F17:Q17" si="8">SUM(F14:F16)</f>
        <v>71</v>
      </c>
      <c r="G17" s="39">
        <f t="shared" si="8"/>
        <v>73</v>
      </c>
      <c r="H17" s="39">
        <f t="shared" si="8"/>
        <v>74</v>
      </c>
      <c r="I17" s="39">
        <f t="shared" si="8"/>
        <v>73</v>
      </c>
      <c r="J17" s="39">
        <f t="shared" si="8"/>
        <v>76</v>
      </c>
      <c r="K17" s="39">
        <f t="shared" si="8"/>
        <v>76</v>
      </c>
      <c r="L17" s="39">
        <f t="shared" si="8"/>
        <v>76</v>
      </c>
      <c r="M17" s="39">
        <f t="shared" si="8"/>
        <v>75</v>
      </c>
      <c r="N17" s="39">
        <f t="shared" si="8"/>
        <v>76</v>
      </c>
      <c r="O17" s="39">
        <f t="shared" si="8"/>
        <v>76</v>
      </c>
      <c r="P17" s="39">
        <f t="shared" si="8"/>
        <v>78</v>
      </c>
      <c r="Q17" s="39">
        <f t="shared" si="8"/>
        <v>78</v>
      </c>
      <c r="R17" s="37"/>
      <c r="S17" s="37">
        <f>+AVERAGEIFS($E17:$Q17,$E$5:$Q$5,"&gt;="&amp;S$4,$E$5:$Q$5,"&lt;="&amp;S$5)</f>
        <v>75.166666666666671</v>
      </c>
      <c r="T17" s="37">
        <f>+AVERAGEIFS($E17:$Q17,$E$5:$Q$5,"&gt;="&amp;T$4,$E$5:$Q$5,"&lt;="&amp;T$5)</f>
        <v>76.5</v>
      </c>
      <c r="U17" s="37">
        <f>+AVERAGEIFS($E17:$Q17,$E$5:$Q$5,"&gt;="&amp;U$4,$E$5:$Q$5,"&lt;="&amp;U$5)</f>
        <v>77.333333333333329</v>
      </c>
    </row>
    <row r="19" spans="2:21" x14ac:dyDescent="0.25">
      <c r="C19" t="s">
        <v>188</v>
      </c>
      <c r="D19" t="s">
        <v>180</v>
      </c>
      <c r="F19" s="32">
        <f>Census!E34</f>
        <v>0.85</v>
      </c>
      <c r="G19" s="32">
        <f>Census!F34</f>
        <v>0.85</v>
      </c>
      <c r="H19" s="32">
        <f>Census!G34</f>
        <v>0.875</v>
      </c>
      <c r="I19" s="32">
        <f>Census!H34</f>
        <v>0.875</v>
      </c>
      <c r="J19" s="32">
        <f>Census!I34</f>
        <v>0.9</v>
      </c>
      <c r="K19" s="32">
        <f>Census!J34</f>
        <v>0.9</v>
      </c>
      <c r="L19" s="32">
        <f>Census!K34</f>
        <v>0.9</v>
      </c>
      <c r="M19" s="32">
        <f>Census!L34</f>
        <v>0.875</v>
      </c>
      <c r="N19" s="32">
        <f>Census!M34</f>
        <v>0.9</v>
      </c>
      <c r="O19" s="32">
        <f>Census!N34</f>
        <v>0.9</v>
      </c>
      <c r="P19" s="32">
        <f>Census!O34</f>
        <v>0.92500000000000004</v>
      </c>
      <c r="Q19" s="32">
        <f>Census!P34</f>
        <v>0.92500000000000004</v>
      </c>
      <c r="R19" s="33"/>
      <c r="S19" s="33">
        <f t="shared" ref="S19:U22" si="9">+IFERROR(S14/S9,"NA")</f>
        <v>0.88958333333333339</v>
      </c>
      <c r="T19" s="33">
        <f t="shared" si="9"/>
        <v>0.90416666666666656</v>
      </c>
      <c r="U19" s="33">
        <f t="shared" si="9"/>
        <v>0.91666666666666663</v>
      </c>
    </row>
    <row r="20" spans="2:21" x14ac:dyDescent="0.25">
      <c r="C20" t="s">
        <v>188</v>
      </c>
      <c r="D20" t="s">
        <v>181</v>
      </c>
      <c r="F20" s="32">
        <f>Census!E35</f>
        <v>0.8666666666666667</v>
      </c>
      <c r="G20" s="32">
        <f>Census!F35</f>
        <v>0.9</v>
      </c>
      <c r="H20" s="32">
        <f>Census!G35</f>
        <v>0.9</v>
      </c>
      <c r="I20" s="32">
        <f>Census!H35</f>
        <v>0.8666666666666667</v>
      </c>
      <c r="J20" s="32">
        <f>Census!I35</f>
        <v>0.9</v>
      </c>
      <c r="K20" s="32">
        <f>Census!J35</f>
        <v>0.93333333333333335</v>
      </c>
      <c r="L20" s="32">
        <f>Census!K35</f>
        <v>0.93333333333333335</v>
      </c>
      <c r="M20" s="32">
        <f>Census!L35</f>
        <v>0.9</v>
      </c>
      <c r="N20" s="32">
        <f>Census!M35</f>
        <v>0.9</v>
      </c>
      <c r="O20" s="32">
        <f>Census!N35</f>
        <v>0.93333333333333335</v>
      </c>
      <c r="P20" s="32">
        <f>Census!O35</f>
        <v>0.93333333333333335</v>
      </c>
      <c r="Q20" s="32">
        <f>Census!P35</f>
        <v>0.93333333333333335</v>
      </c>
      <c r="R20" s="33"/>
      <c r="S20" s="33">
        <f t="shared" si="9"/>
        <v>0.90833333333333333</v>
      </c>
      <c r="T20" s="33">
        <f t="shared" si="9"/>
        <v>0.92222222222222228</v>
      </c>
      <c r="U20" s="33">
        <f t="shared" si="9"/>
        <v>0.93333333333333335</v>
      </c>
    </row>
    <row r="21" spans="2:21" x14ac:dyDescent="0.25">
      <c r="C21" t="s">
        <v>188</v>
      </c>
      <c r="D21" t="s">
        <v>182</v>
      </c>
      <c r="F21" s="41">
        <f>Census!E36</f>
        <v>0.7857142857142857</v>
      </c>
      <c r="G21" s="41">
        <f>Census!F36</f>
        <v>0.8571428571428571</v>
      </c>
      <c r="H21" s="41">
        <f>Census!G36</f>
        <v>0.8571428571428571</v>
      </c>
      <c r="I21" s="41">
        <f>Census!H36</f>
        <v>0.8571428571428571</v>
      </c>
      <c r="J21" s="41">
        <f>Census!I36</f>
        <v>0.9285714285714286</v>
      </c>
      <c r="K21" s="41">
        <f>Census!J36</f>
        <v>0.8571428571428571</v>
      </c>
      <c r="L21" s="41">
        <f>Census!K36</f>
        <v>0.8571428571428571</v>
      </c>
      <c r="M21" s="41">
        <f>Census!L36</f>
        <v>0.9285714285714286</v>
      </c>
      <c r="N21" s="41">
        <f>Census!M36</f>
        <v>0.9285714285714286</v>
      </c>
      <c r="O21" s="41">
        <f>Census!N36</f>
        <v>0.8571428571428571</v>
      </c>
      <c r="P21" s="41">
        <f>Census!O36</f>
        <v>0.9285714285714286</v>
      </c>
      <c r="Q21" s="41">
        <f>Census!P36</f>
        <v>0.9285714285714286</v>
      </c>
      <c r="R21" s="33"/>
      <c r="S21" s="33">
        <f t="shared" si="9"/>
        <v>0.88095238095238104</v>
      </c>
      <c r="T21" s="33">
        <f t="shared" si="9"/>
        <v>0.90476190476190477</v>
      </c>
      <c r="U21" s="33">
        <f t="shared" si="9"/>
        <v>0.90476190476190477</v>
      </c>
    </row>
    <row r="22" spans="2:21" x14ac:dyDescent="0.25">
      <c r="C22" t="s">
        <v>188</v>
      </c>
      <c r="D22" t="s">
        <v>5</v>
      </c>
      <c r="F22" s="42">
        <f t="shared" ref="F22:Q22" si="10">+IFERROR(F17/F12,"NA")</f>
        <v>0.84523809523809523</v>
      </c>
      <c r="G22" s="42">
        <f t="shared" si="10"/>
        <v>0.86904761904761907</v>
      </c>
      <c r="H22" s="42">
        <f t="shared" si="10"/>
        <v>0.88095238095238093</v>
      </c>
      <c r="I22" s="42">
        <f t="shared" si="10"/>
        <v>0.86904761904761907</v>
      </c>
      <c r="J22" s="42">
        <f t="shared" si="10"/>
        <v>0.90476190476190477</v>
      </c>
      <c r="K22" s="42">
        <f t="shared" si="10"/>
        <v>0.90476190476190477</v>
      </c>
      <c r="L22" s="42">
        <f t="shared" si="10"/>
        <v>0.90476190476190477</v>
      </c>
      <c r="M22" s="42">
        <f t="shared" si="10"/>
        <v>0.8928571428571429</v>
      </c>
      <c r="N22" s="42">
        <f t="shared" si="10"/>
        <v>0.90476190476190477</v>
      </c>
      <c r="O22" s="42">
        <f t="shared" si="10"/>
        <v>0.90476190476190477</v>
      </c>
      <c r="P22" s="42">
        <f t="shared" si="10"/>
        <v>0.9285714285714286</v>
      </c>
      <c r="Q22" s="42">
        <f t="shared" si="10"/>
        <v>0.9285714285714286</v>
      </c>
      <c r="R22" s="34"/>
      <c r="S22" s="34">
        <f t="shared" si="9"/>
        <v>0.89484126984126988</v>
      </c>
      <c r="T22" s="34">
        <f t="shared" si="9"/>
        <v>0.9107142857142857</v>
      </c>
      <c r="U22" s="34">
        <f t="shared" si="9"/>
        <v>0.92063492063492058</v>
      </c>
    </row>
    <row r="24" spans="2:21" x14ac:dyDescent="0.25">
      <c r="D24" t="s">
        <v>189</v>
      </c>
      <c r="F24" s="35">
        <f t="shared" ref="F24:Q24" si="11">+F17*F7*F199</f>
        <v>2201</v>
      </c>
      <c r="G24" s="35">
        <f t="shared" si="11"/>
        <v>2263</v>
      </c>
      <c r="H24" s="35">
        <f t="shared" si="11"/>
        <v>2220</v>
      </c>
      <c r="I24" s="35">
        <f t="shared" si="11"/>
        <v>2263</v>
      </c>
      <c r="J24" s="35">
        <f t="shared" si="11"/>
        <v>2280</v>
      </c>
      <c r="K24" s="35">
        <f t="shared" si="11"/>
        <v>2356</v>
      </c>
      <c r="L24" s="35">
        <f t="shared" si="11"/>
        <v>2356</v>
      </c>
      <c r="M24" s="35">
        <f t="shared" si="11"/>
        <v>2100</v>
      </c>
      <c r="N24" s="35">
        <f t="shared" si="11"/>
        <v>2356</v>
      </c>
      <c r="O24" s="35">
        <f t="shared" si="11"/>
        <v>2280</v>
      </c>
      <c r="P24" s="35">
        <f t="shared" si="11"/>
        <v>2418</v>
      </c>
      <c r="Q24" s="35">
        <f t="shared" si="11"/>
        <v>2340</v>
      </c>
      <c r="R24" s="35"/>
      <c r="S24" s="35">
        <f>IFERROR(SUMIFS($E24:$Q24,$E$5:$Q$5,"&gt;="&amp;S$4,$E$5:$Q$5,"&lt;="&amp;S$5),0)*S$2</f>
        <v>27433</v>
      </c>
      <c r="T24" s="35">
        <f>IFERROR(SUMIFS($E24:$Q24,$E$5:$Q$5,"&gt;="&amp;T$4,$E$5:$Q$5,"&lt;="&amp;T$5),0)*T$2</f>
        <v>27700</v>
      </c>
      <c r="U24" s="35">
        <f>IFERROR(SUMIFS($E24:$Q24,$E$5:$Q$5,"&gt;="&amp;U$4,$E$5:$Q$5,"&lt;="&amp;U$5),0)*U$2</f>
        <v>28152</v>
      </c>
    </row>
    <row r="26" spans="2:21" x14ac:dyDescent="0.25">
      <c r="D26" s="2" t="s">
        <v>6</v>
      </c>
    </row>
    <row r="28" spans="2:21" x14ac:dyDescent="0.25">
      <c r="B28" s="27" t="str">
        <f>_xlfn.LET(_xlpm.r,_xlfn.XLOOKUP(D28,'AR PnL Mapping'!$C$3:$C$60,'AR PnL Mapping'!$B$3:$B$60,""),IF(OR(_xlpm.r="",_xlpm.r=0),"",_xlpm.r))</f>
        <v>Rent Revenue - IL</v>
      </c>
      <c r="D28" t="s">
        <v>74</v>
      </c>
      <c r="F28" s="11">
        <f>_xlfn.XLOOKUP($D28,'AR Historical Financials'!$C$8:$C$93,'AR Historical Financials'!E$8:E$93)</f>
        <v>130152</v>
      </c>
      <c r="G28" s="11">
        <f>_xlfn.XLOOKUP($D28,'AR Historical Financials'!$C$8:$C$93,'AR Historical Financials'!F$8:F$93)</f>
        <v>130398</v>
      </c>
      <c r="H28" s="11">
        <f>_xlfn.XLOOKUP($D28,'AR Historical Financials'!$C$8:$C$93,'AR Historical Financials'!G$8:G$93)</f>
        <v>133507</v>
      </c>
      <c r="I28" s="11">
        <f>_xlfn.XLOOKUP($D28,'AR Historical Financials'!$C$8:$C$93,'AR Historical Financials'!H$8:H$93)</f>
        <v>132350</v>
      </c>
      <c r="J28" s="11">
        <f>_xlfn.XLOOKUP($D28,'AR Historical Financials'!$C$8:$C$93,'AR Historical Financials'!I$8:I$93)</f>
        <v>135400</v>
      </c>
      <c r="K28" s="11">
        <f>_xlfn.XLOOKUP($D28,'AR Historical Financials'!$C$8:$C$93,'AR Historical Financials'!J$8:J$93)</f>
        <v>135680</v>
      </c>
      <c r="L28" s="11">
        <f>_xlfn.XLOOKUP($D28,'AR Historical Financials'!$C$8:$C$93,'AR Historical Financials'!K$8:K$93)</f>
        <v>136760</v>
      </c>
      <c r="M28" s="11">
        <f>_xlfn.XLOOKUP($D28,'AR Historical Financials'!$C$8:$C$93,'AR Historical Financials'!L$8:L$93)</f>
        <v>133994</v>
      </c>
      <c r="N28" s="11">
        <f>_xlfn.XLOOKUP($D28,'AR Historical Financials'!$C$8:$C$93,'AR Historical Financials'!M$8:M$93)</f>
        <v>138063</v>
      </c>
      <c r="O28" s="11">
        <f>_xlfn.XLOOKUP($D28,'AR Historical Financials'!$C$8:$C$93,'AR Historical Financials'!N$8:N$93)</f>
        <v>137300</v>
      </c>
      <c r="P28" s="11">
        <f>_xlfn.XLOOKUP($D28,'AR Historical Financials'!$C$8:$C$93,'AR Historical Financials'!O$8:O$93)</f>
        <v>139892</v>
      </c>
      <c r="Q28" s="11">
        <f>_xlfn.XLOOKUP($D28,'AR Historical Financials'!$C$8:$C$93,'AR Historical Financials'!P$8:P$93)</f>
        <v>140535</v>
      </c>
      <c r="R28" s="11"/>
      <c r="S28" s="11">
        <f t="shared" ref="S28:U30" si="12">IFERROR(SUMIFS($E28:$Q28,$E$5:$Q$5,"&gt;="&amp;S$4,$E$5:$Q$5,"&lt;="&amp;S$5),0)*S$2</f>
        <v>1624031</v>
      </c>
      <c r="T28" s="11">
        <f t="shared" si="12"/>
        <v>1653088</v>
      </c>
      <c r="U28" s="11">
        <f t="shared" si="12"/>
        <v>1670908</v>
      </c>
    </row>
    <row r="29" spans="2:21" x14ac:dyDescent="0.25">
      <c r="B29" s="27" t="str">
        <f>_xlfn.LET(_xlpm.r,_xlfn.XLOOKUP(D29,'AR PnL Mapping'!$C$3:$C$60,'AR PnL Mapping'!$B$3:$B$60,""),IF(OR(_xlpm.r="",_xlpm.r=0),"",_xlpm.r))</f>
        <v>Rent Revenue - AL</v>
      </c>
      <c r="D29" t="s">
        <v>76</v>
      </c>
      <c r="F29" s="11">
        <f>_xlfn.XLOOKUP($D29,'AR Historical Financials'!$C$8:$C$93,'AR Historical Financials'!E$8:E$93)</f>
        <v>120910</v>
      </c>
      <c r="G29" s="11">
        <f>_xlfn.XLOOKUP($D29,'AR Historical Financials'!$C$8:$C$93,'AR Historical Financials'!F$8:F$93)</f>
        <v>125160</v>
      </c>
      <c r="H29" s="11">
        <f>_xlfn.XLOOKUP($D29,'AR Historical Financials'!$C$8:$C$93,'AR Historical Financials'!G$8:G$93)</f>
        <v>124124</v>
      </c>
      <c r="I29" s="11">
        <f>_xlfn.XLOOKUP($D29,'AR Historical Financials'!$C$8:$C$93,'AR Historical Financials'!H$8:H$93)</f>
        <v>118673</v>
      </c>
      <c r="J29" s="11">
        <f>_xlfn.XLOOKUP($D29,'AR Historical Financials'!$C$8:$C$93,'AR Historical Financials'!I$8:I$93)</f>
        <v>123170</v>
      </c>
      <c r="K29" s="11">
        <f>_xlfn.XLOOKUP($D29,'AR Historical Financials'!$C$8:$C$93,'AR Historical Financials'!J$8:J$93)</f>
        <v>128565</v>
      </c>
      <c r="L29" s="11">
        <f>_xlfn.XLOOKUP($D29,'AR Historical Financials'!$C$8:$C$93,'AR Historical Financials'!K$8:K$93)</f>
        <v>129671</v>
      </c>
      <c r="M29" s="11">
        <f>_xlfn.XLOOKUP($D29,'AR Historical Financials'!$C$8:$C$93,'AR Historical Financials'!L$8:L$93)</f>
        <v>125562</v>
      </c>
      <c r="N29" s="11">
        <f>_xlfn.XLOOKUP($D29,'AR Historical Financials'!$C$8:$C$93,'AR Historical Financials'!M$8:M$93)</f>
        <v>125145</v>
      </c>
      <c r="O29" s="11">
        <f>_xlfn.XLOOKUP($D29,'AR Historical Financials'!$C$8:$C$93,'AR Historical Financials'!N$8:N$93)</f>
        <v>128700</v>
      </c>
      <c r="P29" s="11">
        <f>_xlfn.XLOOKUP($D29,'AR Historical Financials'!$C$8:$C$93,'AR Historical Financials'!O$8:O$93)</f>
        <v>127791</v>
      </c>
      <c r="Q29" s="11">
        <f>_xlfn.XLOOKUP($D29,'AR Historical Financials'!$C$8:$C$93,'AR Historical Financials'!P$8:P$93)</f>
        <v>128925</v>
      </c>
      <c r="R29" s="11"/>
      <c r="S29" s="11">
        <f t="shared" si="12"/>
        <v>1506396</v>
      </c>
      <c r="T29" s="11">
        <f t="shared" si="12"/>
        <v>1531588</v>
      </c>
      <c r="U29" s="11">
        <f t="shared" si="12"/>
        <v>1541664</v>
      </c>
    </row>
    <row r="30" spans="2:21" x14ac:dyDescent="0.25">
      <c r="B30" s="27" t="str">
        <f>_xlfn.LET(_xlpm.r,_xlfn.XLOOKUP(D30,'AR PnL Mapping'!$C$3:$C$60,'AR PnL Mapping'!$B$3:$B$60,""),IF(OR(_xlpm.r="",_xlpm.r=0),"",_xlpm.r))</f>
        <v>Rent Revenue - MC</v>
      </c>
      <c r="D30" t="s">
        <v>78</v>
      </c>
      <c r="F30" s="11">
        <f>_xlfn.XLOOKUP($D30,'AR Historical Financials'!$C$8:$C$93,'AR Historical Financials'!E$8:E$93)</f>
        <v>86707</v>
      </c>
      <c r="G30" s="11">
        <f>_xlfn.XLOOKUP($D30,'AR Historical Financials'!$C$8:$C$93,'AR Historical Financials'!F$8:F$93)</f>
        <v>93912</v>
      </c>
      <c r="H30" s="11">
        <f>_xlfn.XLOOKUP($D30,'AR Historical Financials'!$C$8:$C$93,'AR Historical Financials'!G$8:G$93)</f>
        <v>93135</v>
      </c>
      <c r="I30" s="11">
        <f>_xlfn.XLOOKUP($D30,'AR Historical Financials'!$C$8:$C$93,'AR Historical Financials'!H$8:H$93)</f>
        <v>92846</v>
      </c>
      <c r="J30" s="11">
        <f>_xlfn.XLOOKUP($D30,'AR Historical Financials'!$C$8:$C$93,'AR Historical Financials'!I$8:I$93)</f>
        <v>101036</v>
      </c>
      <c r="K30" s="11">
        <f>_xlfn.XLOOKUP($D30,'AR Historical Financials'!$C$8:$C$93,'AR Historical Financials'!J$8:J$93)</f>
        <v>94072</v>
      </c>
      <c r="L30" s="11">
        <f>_xlfn.XLOOKUP($D30,'AR Historical Financials'!$C$8:$C$93,'AR Historical Financials'!K$8:K$93)</f>
        <v>94660</v>
      </c>
      <c r="M30" s="11">
        <f>_xlfn.XLOOKUP($D30,'AR Historical Financials'!$C$8:$C$93,'AR Historical Financials'!L$8:L$93)</f>
        <v>102463</v>
      </c>
      <c r="N30" s="11">
        <f>_xlfn.XLOOKUP($D30,'AR Historical Financials'!$C$8:$C$93,'AR Historical Financials'!M$8:M$93)</f>
        <v>101721</v>
      </c>
      <c r="O30" s="11">
        <f>_xlfn.XLOOKUP($D30,'AR Historical Financials'!$C$8:$C$93,'AR Historical Financials'!N$8:N$93)</f>
        <v>93124</v>
      </c>
      <c r="P30" s="11">
        <f>_xlfn.XLOOKUP($D30,'AR Historical Financials'!$C$8:$C$93,'AR Historical Financials'!O$8:O$93)</f>
        <v>100585</v>
      </c>
      <c r="Q30" s="11">
        <f>_xlfn.XLOOKUP($D30,'AR Historical Financials'!$C$8:$C$93,'AR Historical Financials'!P$8:P$93)</f>
        <v>101595</v>
      </c>
      <c r="R30" s="11"/>
      <c r="S30" s="11">
        <f t="shared" si="12"/>
        <v>1155856</v>
      </c>
      <c r="T30" s="11">
        <f t="shared" si="12"/>
        <v>1188296</v>
      </c>
      <c r="U30" s="11">
        <f t="shared" si="12"/>
        <v>1181216</v>
      </c>
    </row>
    <row r="31" spans="2:21" x14ac:dyDescent="0.25"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2:21" x14ac:dyDescent="0.25">
      <c r="B32" s="27" t="str">
        <f>_xlfn.LET(_xlpm.r,_xlfn.XLOOKUP(D32,'AR PnL Mapping'!$C$3:$C$60,'AR PnL Mapping'!$B$3:$B$60,""),IF(OR(_xlpm.r="",_xlpm.r=0),"",_xlpm.r))</f>
        <v/>
      </c>
      <c r="D32" s="12" t="s">
        <v>54</v>
      </c>
      <c r="E32" s="12"/>
      <c r="F32" s="13">
        <f>_xlfn.XLOOKUP($D32,'AR Historical Financials'!$C$8:$C$93,'AR Historical Financials'!E$8:E$93)</f>
        <v>337769</v>
      </c>
      <c r="G32" s="13">
        <f>_xlfn.XLOOKUP($D32,'AR Historical Financials'!$C$8:$C$93,'AR Historical Financials'!F$8:F$93)</f>
        <v>349470</v>
      </c>
      <c r="H32" s="13">
        <f>_xlfn.XLOOKUP($D32,'AR Historical Financials'!$C$8:$C$93,'AR Historical Financials'!G$8:G$93)</f>
        <v>350766</v>
      </c>
      <c r="I32" s="13">
        <f>_xlfn.XLOOKUP($D32,'AR Historical Financials'!$C$8:$C$93,'AR Historical Financials'!H$8:H$93)</f>
        <v>343869</v>
      </c>
      <c r="J32" s="13">
        <f>_xlfn.XLOOKUP($D32,'AR Historical Financials'!$C$8:$C$93,'AR Historical Financials'!I$8:I$93)</f>
        <v>359606</v>
      </c>
      <c r="K32" s="13">
        <f>_xlfn.XLOOKUP($D32,'AR Historical Financials'!$C$8:$C$93,'AR Historical Financials'!J$8:J$93)</f>
        <v>358317</v>
      </c>
      <c r="L32" s="13">
        <f>_xlfn.XLOOKUP($D32,'AR Historical Financials'!$C$8:$C$93,'AR Historical Financials'!K$8:K$93)</f>
        <v>361091</v>
      </c>
      <c r="M32" s="13">
        <f>_xlfn.XLOOKUP($D32,'AR Historical Financials'!$C$8:$C$93,'AR Historical Financials'!L$8:L$93)</f>
        <v>362019</v>
      </c>
      <c r="N32" s="13">
        <f>_xlfn.XLOOKUP($D32,'AR Historical Financials'!$C$8:$C$93,'AR Historical Financials'!M$8:M$93)</f>
        <v>364929</v>
      </c>
      <c r="O32" s="13">
        <f>_xlfn.XLOOKUP($D32,'AR Historical Financials'!$C$8:$C$93,'AR Historical Financials'!N$8:N$93)</f>
        <v>359124</v>
      </c>
      <c r="P32" s="13">
        <f>_xlfn.XLOOKUP($D32,'AR Historical Financials'!$C$8:$C$93,'AR Historical Financials'!O$8:O$93)</f>
        <v>368268</v>
      </c>
      <c r="Q32" s="13">
        <f>_xlfn.XLOOKUP($D32,'AR Historical Financials'!$C$8:$C$93,'AR Historical Financials'!P$8:P$93)</f>
        <v>371055</v>
      </c>
      <c r="R32" s="11"/>
      <c r="S32" s="13">
        <f>IFERROR(SUMIFS($E32:$Q32,$E$5:$Q$5,"&gt;="&amp;S$4,$E$5:$Q$5,"&lt;="&amp;S$5),0)*S$2</f>
        <v>4286283</v>
      </c>
      <c r="T32" s="13">
        <f>IFERROR(SUMIFS($E32:$Q32,$E$5:$Q$5,"&gt;="&amp;T$4,$E$5:$Q$5,"&lt;="&amp;T$5),0)*T$2</f>
        <v>4372972</v>
      </c>
      <c r="U32" s="13">
        <f>IFERROR(SUMIFS($E32:$Q32,$E$5:$Q$5,"&gt;="&amp;U$4,$E$5:$Q$5,"&lt;="&amp;U$5),0)*U$2</f>
        <v>4393788</v>
      </c>
    </row>
    <row r="33" spans="2:21" x14ac:dyDescent="0.25"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2:21" x14ac:dyDescent="0.25">
      <c r="B34" s="27" t="str">
        <f>_xlfn.LET(_xlpm.r,_xlfn.XLOOKUP(D34,'AR PnL Mapping'!$C$3:$C$60,'AR PnL Mapping'!$B$3:$B$60,""),IF(OR(_xlpm.r="",_xlpm.r=0),"",_xlpm.r))</f>
        <v>Care Revenue - AL</v>
      </c>
      <c r="D34" t="s">
        <v>80</v>
      </c>
      <c r="F34" s="11">
        <f>_xlfn.XLOOKUP($D34,'AR Historical Financials'!$C$8:$C$93,'AR Historical Financials'!E$8:E$93)</f>
        <v>25794</v>
      </c>
      <c r="G34" s="11">
        <f>_xlfn.XLOOKUP($D34,'AR Historical Financials'!$C$8:$C$93,'AR Historical Financials'!F$8:F$93)</f>
        <v>26554</v>
      </c>
      <c r="H34" s="11">
        <f>_xlfn.XLOOKUP($D34,'AR Historical Financials'!$C$8:$C$93,'AR Historical Financials'!G$8:G$93)</f>
        <v>26411</v>
      </c>
      <c r="I34" s="11">
        <f>_xlfn.XLOOKUP($D34,'AR Historical Financials'!$C$8:$C$93,'AR Historical Financials'!H$8:H$93)</f>
        <v>25486</v>
      </c>
      <c r="J34" s="11">
        <f>_xlfn.XLOOKUP($D34,'AR Historical Financials'!$C$8:$C$93,'AR Historical Financials'!I$8:I$93)</f>
        <v>26677</v>
      </c>
      <c r="K34" s="11">
        <f>_xlfn.XLOOKUP($D34,'AR Historical Financials'!$C$8:$C$93,'AR Historical Financials'!J$8:J$93)</f>
        <v>27880</v>
      </c>
      <c r="L34" s="11">
        <f>_xlfn.XLOOKUP($D34,'AR Historical Financials'!$C$8:$C$93,'AR Historical Financials'!K$8:K$93)</f>
        <v>27928</v>
      </c>
      <c r="M34" s="11">
        <f>_xlfn.XLOOKUP($D34,'AR Historical Financials'!$C$8:$C$93,'AR Historical Financials'!L$8:L$93)</f>
        <v>26782</v>
      </c>
      <c r="N34" s="11">
        <f>_xlfn.XLOOKUP($D34,'AR Historical Financials'!$C$8:$C$93,'AR Historical Financials'!M$8:M$93)</f>
        <v>26550</v>
      </c>
      <c r="O34" s="11">
        <f>_xlfn.XLOOKUP($D34,'AR Historical Financials'!$C$8:$C$93,'AR Historical Financials'!N$8:N$93)</f>
        <v>27389</v>
      </c>
      <c r="P34" s="11">
        <f>_xlfn.XLOOKUP($D34,'AR Historical Financials'!$C$8:$C$93,'AR Historical Financials'!O$8:O$93)</f>
        <v>27449</v>
      </c>
      <c r="Q34" s="11">
        <f>_xlfn.XLOOKUP($D34,'AR Historical Financials'!$C$8:$C$93,'AR Historical Financials'!P$8:P$93)</f>
        <v>27660</v>
      </c>
      <c r="R34" s="11"/>
      <c r="S34" s="11">
        <f t="shared" ref="S34:U35" si="13">IFERROR(SUMIFS($E34:$Q34,$E$5:$Q$5,"&gt;="&amp;S$4,$E$5:$Q$5,"&lt;="&amp;S$5),0)*S$2</f>
        <v>322560</v>
      </c>
      <c r="T34" s="11">
        <f t="shared" si="13"/>
        <v>327516</v>
      </c>
      <c r="U34" s="11">
        <f t="shared" si="13"/>
        <v>329992</v>
      </c>
    </row>
    <row r="35" spans="2:21" x14ac:dyDescent="0.25">
      <c r="B35" s="27" t="str">
        <f>_xlfn.LET(_xlpm.r,_xlfn.XLOOKUP(D35,'AR PnL Mapping'!$C$3:$C$60,'AR PnL Mapping'!$B$3:$B$60,""),IF(OR(_xlpm.r="",_xlpm.r=0),"",_xlpm.r))</f>
        <v>Care Revenue - MC</v>
      </c>
      <c r="D35" t="s">
        <v>82</v>
      </c>
      <c r="F35" s="11">
        <f>_xlfn.XLOOKUP($D35,'AR Historical Financials'!$C$8:$C$93,'AR Historical Financials'!E$8:E$93)</f>
        <v>15207</v>
      </c>
      <c r="G35" s="11">
        <f>_xlfn.XLOOKUP($D35,'AR Historical Financials'!$C$8:$C$93,'AR Historical Financials'!F$8:F$93)</f>
        <v>16471</v>
      </c>
      <c r="H35" s="11">
        <f>_xlfn.XLOOKUP($D35,'AR Historical Financials'!$C$8:$C$93,'AR Historical Financials'!G$8:G$93)</f>
        <v>16462</v>
      </c>
      <c r="I35" s="11">
        <f>_xlfn.XLOOKUP($D35,'AR Historical Financials'!$C$8:$C$93,'AR Historical Financials'!H$8:H$93)</f>
        <v>16569</v>
      </c>
      <c r="J35" s="11">
        <f>_xlfn.XLOOKUP($D35,'AR Historical Financials'!$C$8:$C$93,'AR Historical Financials'!I$8:I$93)</f>
        <v>18104</v>
      </c>
      <c r="K35" s="11">
        <f>_xlfn.XLOOKUP($D35,'AR Historical Financials'!$C$8:$C$93,'AR Historical Financials'!J$8:J$93)</f>
        <v>16781</v>
      </c>
      <c r="L35" s="11">
        <f>_xlfn.XLOOKUP($D35,'AR Historical Financials'!$C$8:$C$93,'AR Historical Financials'!K$8:K$93)</f>
        <v>16726</v>
      </c>
      <c r="M35" s="11">
        <f>_xlfn.XLOOKUP($D35,'AR Historical Financials'!$C$8:$C$93,'AR Historical Financials'!L$8:L$93)</f>
        <v>17969</v>
      </c>
      <c r="N35" s="11">
        <f>_xlfn.XLOOKUP($D35,'AR Historical Financials'!$C$8:$C$93,'AR Historical Financials'!M$8:M$93)</f>
        <v>17842</v>
      </c>
      <c r="O35" s="11">
        <f>_xlfn.XLOOKUP($D35,'AR Historical Financials'!$C$8:$C$93,'AR Historical Financials'!N$8:N$93)</f>
        <v>16463</v>
      </c>
      <c r="P35" s="11">
        <f>_xlfn.XLOOKUP($D35,'AR Historical Financials'!$C$8:$C$93,'AR Historical Financials'!O$8:O$93)</f>
        <v>17953</v>
      </c>
      <c r="Q35" s="11">
        <f>_xlfn.XLOOKUP($D35,'AR Historical Financials'!$C$8:$C$93,'AR Historical Financials'!P$8:P$93)</f>
        <v>18000</v>
      </c>
      <c r="R35" s="11"/>
      <c r="S35" s="11">
        <f t="shared" si="13"/>
        <v>204547</v>
      </c>
      <c r="T35" s="11">
        <f t="shared" si="13"/>
        <v>209906</v>
      </c>
      <c r="U35" s="11">
        <f t="shared" si="13"/>
        <v>209664</v>
      </c>
    </row>
    <row r="36" spans="2:21" x14ac:dyDescent="0.25"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2:21" x14ac:dyDescent="0.25">
      <c r="B37" s="27" t="str">
        <f>_xlfn.LET(_xlpm.r,_xlfn.XLOOKUP(D37,'AR PnL Mapping'!$C$3:$C$60,'AR PnL Mapping'!$B$3:$B$60,""),IF(OR(_xlpm.r="",_xlpm.r=0),"",_xlpm.r))</f>
        <v/>
      </c>
      <c r="D37" s="12" t="s">
        <v>55</v>
      </c>
      <c r="E37" s="12"/>
      <c r="F37" s="13">
        <f>_xlfn.XLOOKUP($D37,'AR Historical Financials'!$C$8:$C$93,'AR Historical Financials'!E$8:E$93)</f>
        <v>41001</v>
      </c>
      <c r="G37" s="13">
        <f>_xlfn.XLOOKUP($D37,'AR Historical Financials'!$C$8:$C$93,'AR Historical Financials'!F$8:F$93)</f>
        <v>43025</v>
      </c>
      <c r="H37" s="13">
        <f>_xlfn.XLOOKUP($D37,'AR Historical Financials'!$C$8:$C$93,'AR Historical Financials'!G$8:G$93)</f>
        <v>42873</v>
      </c>
      <c r="I37" s="13">
        <f>_xlfn.XLOOKUP($D37,'AR Historical Financials'!$C$8:$C$93,'AR Historical Financials'!H$8:H$93)</f>
        <v>42055</v>
      </c>
      <c r="J37" s="13">
        <f>_xlfn.XLOOKUP($D37,'AR Historical Financials'!$C$8:$C$93,'AR Historical Financials'!I$8:I$93)</f>
        <v>44781</v>
      </c>
      <c r="K37" s="13">
        <f>_xlfn.XLOOKUP($D37,'AR Historical Financials'!$C$8:$C$93,'AR Historical Financials'!J$8:J$93)</f>
        <v>44661</v>
      </c>
      <c r="L37" s="13">
        <f>_xlfn.XLOOKUP($D37,'AR Historical Financials'!$C$8:$C$93,'AR Historical Financials'!K$8:K$93)</f>
        <v>44654</v>
      </c>
      <c r="M37" s="13">
        <f>_xlfn.XLOOKUP($D37,'AR Historical Financials'!$C$8:$C$93,'AR Historical Financials'!L$8:L$93)</f>
        <v>44751</v>
      </c>
      <c r="N37" s="13">
        <f>_xlfn.XLOOKUP($D37,'AR Historical Financials'!$C$8:$C$93,'AR Historical Financials'!M$8:M$93)</f>
        <v>44392</v>
      </c>
      <c r="O37" s="13">
        <f>_xlfn.XLOOKUP($D37,'AR Historical Financials'!$C$8:$C$93,'AR Historical Financials'!N$8:N$93)</f>
        <v>43852</v>
      </c>
      <c r="P37" s="13">
        <f>_xlfn.XLOOKUP($D37,'AR Historical Financials'!$C$8:$C$93,'AR Historical Financials'!O$8:O$93)</f>
        <v>45402</v>
      </c>
      <c r="Q37" s="13">
        <f>_xlfn.XLOOKUP($D37,'AR Historical Financials'!$C$8:$C$93,'AR Historical Financials'!P$8:P$93)</f>
        <v>45660</v>
      </c>
      <c r="R37" s="11"/>
      <c r="S37" s="13">
        <f>IFERROR(SUMIFS($E37:$Q37,$E$5:$Q$5,"&gt;="&amp;S$4,$E$5:$Q$5,"&lt;="&amp;S$5),0)*S$2</f>
        <v>527107</v>
      </c>
      <c r="T37" s="13">
        <f>IFERROR(SUMIFS($E37:$Q37,$E$5:$Q$5,"&gt;="&amp;T$4,$E$5:$Q$5,"&lt;="&amp;T$5),0)*T$2</f>
        <v>537422</v>
      </c>
      <c r="U37" s="13">
        <f>IFERROR(SUMIFS($E37:$Q37,$E$5:$Q$5,"&gt;="&amp;U$4,$E$5:$Q$5,"&lt;="&amp;U$5),0)*U$2</f>
        <v>539656</v>
      </c>
    </row>
    <row r="38" spans="2:21" x14ac:dyDescent="0.25"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2:21" x14ac:dyDescent="0.25">
      <c r="B39" s="27" t="str">
        <f>_xlfn.LET(_xlpm.r,_xlfn.XLOOKUP(D39,'AR PnL Mapping'!$C$3:$C$60,'AR PnL Mapping'!$B$3:$B$60,""),IF(OR(_xlpm.r="",_xlpm.r=0),"",_xlpm.r))</f>
        <v>Rent - Second Person</v>
      </c>
      <c r="D39" t="s">
        <v>84</v>
      </c>
      <c r="F39" s="11">
        <f>_xlfn.XLOOKUP($D39,'AR Historical Financials'!$C$8:$C$93,'AR Historical Financials'!E$8:E$93)</f>
        <v>7297</v>
      </c>
      <c r="G39" s="11">
        <f>_xlfn.XLOOKUP($D39,'AR Historical Financials'!$C$8:$C$93,'AR Historical Financials'!F$8:F$93)</f>
        <v>7396</v>
      </c>
      <c r="H39" s="11">
        <f>_xlfn.XLOOKUP($D39,'AR Historical Financials'!$C$8:$C$93,'AR Historical Financials'!G$8:G$93)</f>
        <v>7551</v>
      </c>
      <c r="I39" s="11">
        <f>_xlfn.XLOOKUP($D39,'AR Historical Financials'!$C$8:$C$93,'AR Historical Financials'!H$8:H$93)</f>
        <v>7493</v>
      </c>
      <c r="J39" s="11">
        <f>_xlfn.XLOOKUP($D39,'AR Historical Financials'!$C$8:$C$93,'AR Historical Financials'!I$8:I$93)</f>
        <v>7787</v>
      </c>
      <c r="K39" s="11">
        <f>_xlfn.XLOOKUP($D39,'AR Historical Financials'!$C$8:$C$93,'AR Historical Financials'!J$8:J$93)</f>
        <v>7905</v>
      </c>
      <c r="L39" s="11">
        <f>_xlfn.XLOOKUP($D39,'AR Historical Financials'!$C$8:$C$93,'AR Historical Financials'!K$8:K$93)</f>
        <v>7847</v>
      </c>
      <c r="M39" s="11">
        <f>_xlfn.XLOOKUP($D39,'AR Historical Financials'!$C$8:$C$93,'AR Historical Financials'!L$8:L$93)</f>
        <v>7539</v>
      </c>
      <c r="N39" s="11">
        <f>_xlfn.XLOOKUP($D39,'AR Historical Financials'!$C$8:$C$93,'AR Historical Financials'!M$8:M$93)</f>
        <v>7638</v>
      </c>
      <c r="O39" s="11">
        <f>_xlfn.XLOOKUP($D39,'AR Historical Financials'!$C$8:$C$93,'AR Historical Financials'!N$8:N$93)</f>
        <v>7795</v>
      </c>
      <c r="P39" s="11">
        <f>_xlfn.XLOOKUP($D39,'AR Historical Financials'!$C$8:$C$93,'AR Historical Financials'!O$8:O$93)</f>
        <v>7986</v>
      </c>
      <c r="Q39" s="11">
        <f>_xlfn.XLOOKUP($D39,'AR Historical Financials'!$C$8:$C$93,'AR Historical Financials'!P$8:P$93)</f>
        <v>7960</v>
      </c>
      <c r="R39" s="11"/>
      <c r="S39" s="11">
        <f t="shared" ref="S39:U42" si="14">IFERROR(SUMIFS($E39:$Q39,$E$5:$Q$5,"&gt;="&amp;S$4,$E$5:$Q$5,"&lt;="&amp;S$5),0)*S$2</f>
        <v>92194</v>
      </c>
      <c r="T39" s="11">
        <f t="shared" si="14"/>
        <v>93530</v>
      </c>
      <c r="U39" s="11">
        <f t="shared" si="14"/>
        <v>94964</v>
      </c>
    </row>
    <row r="40" spans="2:21" x14ac:dyDescent="0.25">
      <c r="B40" s="27" t="str">
        <f>_xlfn.LET(_xlpm.r,_xlfn.XLOOKUP(D40,'AR PnL Mapping'!$C$3:$C$60,'AR PnL Mapping'!$B$3:$B$60,""),IF(OR(_xlpm.r="",_xlpm.r=0),"",_xlpm.r))</f>
        <v>Community Fees</v>
      </c>
      <c r="D40" t="s">
        <v>85</v>
      </c>
      <c r="F40" s="11">
        <f>_xlfn.XLOOKUP($D40,'AR Historical Financials'!$C$8:$C$93,'AR Historical Financials'!E$8:E$93)</f>
        <v>4087</v>
      </c>
      <c r="G40" s="11">
        <f>_xlfn.XLOOKUP($D40,'AR Historical Financials'!$C$8:$C$93,'AR Historical Financials'!F$8:F$93)</f>
        <v>9901</v>
      </c>
      <c r="H40" s="11">
        <f>_xlfn.XLOOKUP($D40,'AR Historical Financials'!$C$8:$C$93,'AR Historical Financials'!G$8:G$93)</f>
        <v>5616</v>
      </c>
      <c r="I40" s="11">
        <f>_xlfn.XLOOKUP($D40,'AR Historical Financials'!$C$8:$C$93,'AR Historical Financials'!H$8:H$93)</f>
        <v>3000</v>
      </c>
      <c r="J40" s="11">
        <f>_xlfn.XLOOKUP($D40,'AR Historical Financials'!$C$8:$C$93,'AR Historical Financials'!I$8:I$93)</f>
        <v>13391</v>
      </c>
      <c r="K40" s="11">
        <f>_xlfn.XLOOKUP($D40,'AR Historical Financials'!$C$8:$C$93,'AR Historical Financials'!J$8:J$93)</f>
        <v>3969</v>
      </c>
      <c r="L40" s="11">
        <f>_xlfn.XLOOKUP($D40,'AR Historical Financials'!$C$8:$C$93,'AR Historical Financials'!K$8:K$93)</f>
        <v>3000</v>
      </c>
      <c r="M40" s="11">
        <f>_xlfn.XLOOKUP($D40,'AR Historical Financials'!$C$8:$C$93,'AR Historical Financials'!L$8:L$93)</f>
        <v>3000</v>
      </c>
      <c r="N40" s="11">
        <f>_xlfn.XLOOKUP($D40,'AR Historical Financials'!$C$8:$C$93,'AR Historical Financials'!M$8:M$93)</f>
        <v>6430</v>
      </c>
      <c r="O40" s="11">
        <f>_xlfn.XLOOKUP($D40,'AR Historical Financials'!$C$8:$C$93,'AR Historical Financials'!N$8:N$93)</f>
        <v>4092</v>
      </c>
      <c r="P40" s="11">
        <f>_xlfn.XLOOKUP($D40,'AR Historical Financials'!$C$8:$C$93,'AR Historical Financials'!O$8:O$93)</f>
        <v>9873</v>
      </c>
      <c r="Q40" s="11">
        <f>_xlfn.XLOOKUP($D40,'AR Historical Financials'!$C$8:$C$93,'AR Historical Financials'!P$8:P$93)</f>
        <v>3000</v>
      </c>
      <c r="R40" s="11"/>
      <c r="S40" s="11">
        <f t="shared" si="14"/>
        <v>69359</v>
      </c>
      <c r="T40" s="11">
        <f t="shared" si="14"/>
        <v>58790</v>
      </c>
      <c r="U40" s="11">
        <f t="shared" si="14"/>
        <v>67860</v>
      </c>
    </row>
    <row r="41" spans="2:21" x14ac:dyDescent="0.25">
      <c r="B41" s="27" t="str">
        <f>_xlfn.LET(_xlpm.r,_xlfn.XLOOKUP(D41,'AR PnL Mapping'!$C$3:$C$60,'AR PnL Mapping'!$B$3:$B$60,""),IF(OR(_xlpm.r="",_xlpm.r=0),"",_xlpm.r))</f>
        <v>Other Revenue</v>
      </c>
      <c r="D41" t="s">
        <v>87</v>
      </c>
      <c r="F41" s="11">
        <f>_xlfn.XLOOKUP($D41,'AR Historical Financials'!$C$8:$C$93,'AR Historical Financials'!E$8:E$93)</f>
        <v>3577</v>
      </c>
      <c r="G41" s="11">
        <f>_xlfn.XLOOKUP($D41,'AR Historical Financials'!$C$8:$C$93,'AR Historical Financials'!F$8:F$93)</f>
        <v>3254</v>
      </c>
      <c r="H41" s="11">
        <f>_xlfn.XLOOKUP($D41,'AR Historical Financials'!$C$8:$C$93,'AR Historical Financials'!G$8:G$93)</f>
        <v>2852</v>
      </c>
      <c r="I41" s="11">
        <f>_xlfn.XLOOKUP($D41,'AR Historical Financials'!$C$8:$C$93,'AR Historical Financials'!H$8:H$93)</f>
        <v>2960</v>
      </c>
      <c r="J41" s="11">
        <f>_xlfn.XLOOKUP($D41,'AR Historical Financials'!$C$8:$C$93,'AR Historical Financials'!I$8:I$93)</f>
        <v>3420</v>
      </c>
      <c r="K41" s="11">
        <f>_xlfn.XLOOKUP($D41,'AR Historical Financials'!$C$8:$C$93,'AR Historical Financials'!J$8:J$93)</f>
        <v>3557</v>
      </c>
      <c r="L41" s="11">
        <f>_xlfn.XLOOKUP($D41,'AR Historical Financials'!$C$8:$C$93,'AR Historical Financials'!K$8:K$93)</f>
        <v>3171</v>
      </c>
      <c r="M41" s="11">
        <f>_xlfn.XLOOKUP($D41,'AR Historical Financials'!$C$8:$C$93,'AR Historical Financials'!L$8:L$93)</f>
        <v>2827</v>
      </c>
      <c r="N41" s="11">
        <f>_xlfn.XLOOKUP($D41,'AR Historical Financials'!$C$8:$C$93,'AR Historical Financials'!M$8:M$93)</f>
        <v>3029</v>
      </c>
      <c r="O41" s="11">
        <f>_xlfn.XLOOKUP($D41,'AR Historical Financials'!$C$8:$C$93,'AR Historical Financials'!N$8:N$93)</f>
        <v>3481</v>
      </c>
      <c r="P41" s="11">
        <f>_xlfn.XLOOKUP($D41,'AR Historical Financials'!$C$8:$C$93,'AR Historical Financials'!O$8:O$93)</f>
        <v>3521</v>
      </c>
      <c r="Q41" s="11">
        <f>_xlfn.XLOOKUP($D41,'AR Historical Financials'!$C$8:$C$93,'AR Historical Financials'!P$8:P$93)</f>
        <v>3091</v>
      </c>
      <c r="R41" s="11"/>
      <c r="S41" s="11">
        <f t="shared" si="14"/>
        <v>38740</v>
      </c>
      <c r="T41" s="11">
        <f t="shared" si="14"/>
        <v>38240</v>
      </c>
      <c r="U41" s="11">
        <f t="shared" si="14"/>
        <v>40372</v>
      </c>
    </row>
    <row r="42" spans="2:21" x14ac:dyDescent="0.25">
      <c r="B42" s="27" t="str">
        <f>_xlfn.LET(_xlpm.r,_xlfn.XLOOKUP(D42,'AR PnL Mapping'!$C$3:$C$60,'AR PnL Mapping'!$B$3:$B$60,""),IF(OR(_xlpm.r="",_xlpm.r=0),"",_xlpm.r))</f>
        <v>Other Revenue</v>
      </c>
      <c r="D42" t="s">
        <v>88</v>
      </c>
      <c r="F42" s="11">
        <f>_xlfn.XLOOKUP($D42,'AR Historical Financials'!$C$8:$C$93,'AR Historical Financials'!E$8:E$93)</f>
        <v>2517</v>
      </c>
      <c r="G42" s="11">
        <f>_xlfn.XLOOKUP($D42,'AR Historical Financials'!$C$8:$C$93,'AR Historical Financials'!F$8:F$93)</f>
        <v>1915</v>
      </c>
      <c r="H42" s="11">
        <f>_xlfn.XLOOKUP($D42,'AR Historical Financials'!$C$8:$C$93,'AR Historical Financials'!G$8:G$93)</f>
        <v>2183</v>
      </c>
      <c r="I42" s="11">
        <f>_xlfn.XLOOKUP($D42,'AR Historical Financials'!$C$8:$C$93,'AR Historical Financials'!H$8:H$93)</f>
        <v>2715</v>
      </c>
      <c r="J42" s="11">
        <f>_xlfn.XLOOKUP($D42,'AR Historical Financials'!$C$8:$C$93,'AR Historical Financials'!I$8:I$93)</f>
        <v>2310</v>
      </c>
      <c r="K42" s="11">
        <f>_xlfn.XLOOKUP($D42,'AR Historical Financials'!$C$8:$C$93,'AR Historical Financials'!J$8:J$93)</f>
        <v>1882</v>
      </c>
      <c r="L42" s="11">
        <f>_xlfn.XLOOKUP($D42,'AR Historical Financials'!$C$8:$C$93,'AR Historical Financials'!K$8:K$93)</f>
        <v>2397</v>
      </c>
      <c r="M42" s="11">
        <f>_xlfn.XLOOKUP($D42,'AR Historical Financials'!$C$8:$C$93,'AR Historical Financials'!L$8:L$93)</f>
        <v>2693</v>
      </c>
      <c r="N42" s="11">
        <f>_xlfn.XLOOKUP($D42,'AR Historical Financials'!$C$8:$C$93,'AR Historical Financials'!M$8:M$93)</f>
        <v>2102</v>
      </c>
      <c r="O42" s="11">
        <f>_xlfn.XLOOKUP($D42,'AR Historical Financials'!$C$8:$C$93,'AR Historical Financials'!N$8:N$93)</f>
        <v>1958</v>
      </c>
      <c r="P42" s="11">
        <f>_xlfn.XLOOKUP($D42,'AR Historical Financials'!$C$8:$C$93,'AR Historical Financials'!O$8:O$93)</f>
        <v>2586</v>
      </c>
      <c r="Q42" s="11">
        <f>_xlfn.XLOOKUP($D42,'AR Historical Financials'!$C$8:$C$93,'AR Historical Financials'!P$8:P$93)</f>
        <v>2568</v>
      </c>
      <c r="R42" s="11"/>
      <c r="S42" s="11">
        <f t="shared" si="14"/>
        <v>27826</v>
      </c>
      <c r="T42" s="11">
        <f t="shared" si="14"/>
        <v>28608</v>
      </c>
      <c r="U42" s="11">
        <f t="shared" si="14"/>
        <v>28448</v>
      </c>
    </row>
    <row r="43" spans="2:21" x14ac:dyDescent="0.25"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2:21" x14ac:dyDescent="0.25">
      <c r="B44" s="27" t="str">
        <f>_xlfn.LET(_xlpm.r,_xlfn.XLOOKUP(D44,'AR PnL Mapping'!$C$3:$C$60,'AR PnL Mapping'!$B$3:$B$60,""),IF(OR(_xlpm.r="",_xlpm.r=0),"",_xlpm.r))</f>
        <v/>
      </c>
      <c r="D44" s="12" t="s">
        <v>56</v>
      </c>
      <c r="E44" s="12"/>
      <c r="F44" s="13">
        <f>_xlfn.XLOOKUP($D44,'AR Historical Financials'!$C$8:$C$93,'AR Historical Financials'!E$8:E$93)</f>
        <v>17478</v>
      </c>
      <c r="G44" s="13">
        <f>_xlfn.XLOOKUP($D44,'AR Historical Financials'!$C$8:$C$93,'AR Historical Financials'!F$8:F$93)</f>
        <v>22466</v>
      </c>
      <c r="H44" s="13">
        <f>_xlfn.XLOOKUP($D44,'AR Historical Financials'!$C$8:$C$93,'AR Historical Financials'!G$8:G$93)</f>
        <v>18202</v>
      </c>
      <c r="I44" s="13">
        <f>_xlfn.XLOOKUP($D44,'AR Historical Financials'!$C$8:$C$93,'AR Historical Financials'!H$8:H$93)</f>
        <v>16168</v>
      </c>
      <c r="J44" s="13">
        <f>_xlfn.XLOOKUP($D44,'AR Historical Financials'!$C$8:$C$93,'AR Historical Financials'!I$8:I$93)</f>
        <v>26908</v>
      </c>
      <c r="K44" s="13">
        <f>_xlfn.XLOOKUP($D44,'AR Historical Financials'!$C$8:$C$93,'AR Historical Financials'!J$8:J$93)</f>
        <v>17313</v>
      </c>
      <c r="L44" s="13">
        <f>_xlfn.XLOOKUP($D44,'AR Historical Financials'!$C$8:$C$93,'AR Historical Financials'!K$8:K$93)</f>
        <v>16415</v>
      </c>
      <c r="M44" s="13">
        <f>_xlfn.XLOOKUP($D44,'AR Historical Financials'!$C$8:$C$93,'AR Historical Financials'!L$8:L$93)</f>
        <v>16059</v>
      </c>
      <c r="N44" s="13">
        <f>_xlfn.XLOOKUP($D44,'AR Historical Financials'!$C$8:$C$93,'AR Historical Financials'!M$8:M$93)</f>
        <v>19199</v>
      </c>
      <c r="O44" s="13">
        <f>_xlfn.XLOOKUP($D44,'AR Historical Financials'!$C$8:$C$93,'AR Historical Financials'!N$8:N$93)</f>
        <v>17326</v>
      </c>
      <c r="P44" s="13">
        <f>_xlfn.XLOOKUP($D44,'AR Historical Financials'!$C$8:$C$93,'AR Historical Financials'!O$8:O$93)</f>
        <v>23966</v>
      </c>
      <c r="Q44" s="13">
        <f>_xlfn.XLOOKUP($D44,'AR Historical Financials'!$C$8:$C$93,'AR Historical Financials'!P$8:P$93)</f>
        <v>16619</v>
      </c>
      <c r="R44" s="11"/>
      <c r="S44" s="13">
        <f>IFERROR(SUMIFS($E44:$Q44,$E$5:$Q$5,"&gt;="&amp;S$4,$E$5:$Q$5,"&lt;="&amp;S$5),0)*S$2</f>
        <v>228119</v>
      </c>
      <c r="T44" s="13">
        <f>IFERROR(SUMIFS($E44:$Q44,$E$5:$Q$5,"&gt;="&amp;T$4,$E$5:$Q$5,"&lt;="&amp;T$5),0)*T$2</f>
        <v>219168</v>
      </c>
      <c r="U44" s="13">
        <f>IFERROR(SUMIFS($E44:$Q44,$E$5:$Q$5,"&gt;="&amp;U$4,$E$5:$Q$5,"&lt;="&amp;U$5),0)*U$2</f>
        <v>231644</v>
      </c>
    </row>
    <row r="45" spans="2:21" x14ac:dyDescent="0.25"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2:21" x14ac:dyDescent="0.25">
      <c r="B46" s="27" t="str">
        <f>_xlfn.LET(_xlpm.r,_xlfn.XLOOKUP(D46,'AR PnL Mapping'!$C$3:$C$60,'AR PnL Mapping'!$B$3:$B$60,""),IF(OR(_xlpm.r="",_xlpm.r=0),"",_xlpm.r))</f>
        <v/>
      </c>
      <c r="D46" s="12" t="s">
        <v>16</v>
      </c>
      <c r="E46" s="12"/>
      <c r="F46" s="13">
        <f>_xlfn.XLOOKUP($D46,'AR Historical Financials'!$C$8:$C$93,'AR Historical Financials'!E$8:E$93)</f>
        <v>396248</v>
      </c>
      <c r="G46" s="13">
        <f>_xlfn.XLOOKUP($D46,'AR Historical Financials'!$C$8:$C$93,'AR Historical Financials'!F$8:F$93)</f>
        <v>414961</v>
      </c>
      <c r="H46" s="13">
        <f>_xlfn.XLOOKUP($D46,'AR Historical Financials'!$C$8:$C$93,'AR Historical Financials'!G$8:G$93)</f>
        <v>411841</v>
      </c>
      <c r="I46" s="13">
        <f>_xlfn.XLOOKUP($D46,'AR Historical Financials'!$C$8:$C$93,'AR Historical Financials'!H$8:H$93)</f>
        <v>402092</v>
      </c>
      <c r="J46" s="13">
        <f>_xlfn.XLOOKUP($D46,'AR Historical Financials'!$C$8:$C$93,'AR Historical Financials'!I$8:I$93)</f>
        <v>431295</v>
      </c>
      <c r="K46" s="13">
        <f>_xlfn.XLOOKUP($D46,'AR Historical Financials'!$C$8:$C$93,'AR Historical Financials'!J$8:J$93)</f>
        <v>420291</v>
      </c>
      <c r="L46" s="13">
        <f>_xlfn.XLOOKUP($D46,'AR Historical Financials'!$C$8:$C$93,'AR Historical Financials'!K$8:K$93)</f>
        <v>422160</v>
      </c>
      <c r="M46" s="13">
        <f>_xlfn.XLOOKUP($D46,'AR Historical Financials'!$C$8:$C$93,'AR Historical Financials'!L$8:L$93)</f>
        <v>422829</v>
      </c>
      <c r="N46" s="13">
        <f>_xlfn.XLOOKUP($D46,'AR Historical Financials'!$C$8:$C$93,'AR Historical Financials'!M$8:M$93)</f>
        <v>428520</v>
      </c>
      <c r="O46" s="13">
        <f>_xlfn.XLOOKUP($D46,'AR Historical Financials'!$C$8:$C$93,'AR Historical Financials'!N$8:N$93)</f>
        <v>420302</v>
      </c>
      <c r="P46" s="13">
        <f>_xlfn.XLOOKUP($D46,'AR Historical Financials'!$C$8:$C$93,'AR Historical Financials'!O$8:O$93)</f>
        <v>437636</v>
      </c>
      <c r="Q46" s="13">
        <f>_xlfn.XLOOKUP($D46,'AR Historical Financials'!$C$8:$C$93,'AR Historical Financials'!P$8:P$93)</f>
        <v>433334</v>
      </c>
      <c r="R46" s="11"/>
      <c r="S46" s="13">
        <f>IFERROR(SUMIFS($E46:$Q46,$E$5:$Q$5,"&gt;="&amp;S$4,$E$5:$Q$5,"&lt;="&amp;S$5),0)*S$2</f>
        <v>5041509</v>
      </c>
      <c r="T46" s="13">
        <f>IFERROR(SUMIFS($E46:$Q46,$E$5:$Q$5,"&gt;="&amp;T$4,$E$5:$Q$5,"&lt;="&amp;T$5),0)*T$2</f>
        <v>5129562</v>
      </c>
      <c r="U46" s="13">
        <f>IFERROR(SUMIFS($E46:$Q46,$E$5:$Q$5,"&gt;="&amp;U$4,$E$5:$Q$5,"&lt;="&amp;U$5),0)*U$2</f>
        <v>5165088</v>
      </c>
    </row>
    <row r="47" spans="2:21" x14ac:dyDescent="0.25"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2:21" x14ac:dyDescent="0.25">
      <c r="B48" s="27" t="str">
        <f>_xlfn.LET(_xlpm.r,_xlfn.XLOOKUP(D48,'AR PnL Mapping'!$C$3:$C$60,'AR PnL Mapping'!$B$3:$B$60,""),IF(OR(_xlpm.r="",_xlpm.r=0),"",_xlpm.r))</f>
        <v/>
      </c>
      <c r="D48" s="2" t="s">
        <v>57</v>
      </c>
      <c r="F48" s="11">
        <f>_xlfn.XLOOKUP($D48,'AR Historical Financials'!$C$8:$C$93,'AR Historical Financials'!E$8:E$93)</f>
        <v>0</v>
      </c>
      <c r="G48" s="11">
        <f>_xlfn.XLOOKUP($D48,'AR Historical Financials'!$C$8:$C$93,'AR Historical Financials'!F$8:F$93)</f>
        <v>0</v>
      </c>
      <c r="H48" s="11">
        <f>_xlfn.XLOOKUP($D48,'AR Historical Financials'!$C$8:$C$93,'AR Historical Financials'!G$8:G$93)</f>
        <v>0</v>
      </c>
      <c r="I48" s="11">
        <f>_xlfn.XLOOKUP($D48,'AR Historical Financials'!$C$8:$C$93,'AR Historical Financials'!H$8:H$93)</f>
        <v>0</v>
      </c>
      <c r="J48" s="11">
        <f>_xlfn.XLOOKUP($D48,'AR Historical Financials'!$C$8:$C$93,'AR Historical Financials'!I$8:I$93)</f>
        <v>0</v>
      </c>
      <c r="K48" s="11">
        <f>_xlfn.XLOOKUP($D48,'AR Historical Financials'!$C$8:$C$93,'AR Historical Financials'!J$8:J$93)</f>
        <v>0</v>
      </c>
      <c r="L48" s="11">
        <f>_xlfn.XLOOKUP($D48,'AR Historical Financials'!$C$8:$C$93,'AR Historical Financials'!K$8:K$93)</f>
        <v>0</v>
      </c>
      <c r="M48" s="11">
        <f>_xlfn.XLOOKUP($D48,'AR Historical Financials'!$C$8:$C$93,'AR Historical Financials'!L$8:L$93)</f>
        <v>0</v>
      </c>
      <c r="N48" s="11">
        <f>_xlfn.XLOOKUP($D48,'AR Historical Financials'!$C$8:$C$93,'AR Historical Financials'!M$8:M$93)</f>
        <v>0</v>
      </c>
      <c r="O48" s="11">
        <f>_xlfn.XLOOKUP($D48,'AR Historical Financials'!$C$8:$C$93,'AR Historical Financials'!N$8:N$93)</f>
        <v>0</v>
      </c>
      <c r="P48" s="11">
        <f>_xlfn.XLOOKUP($D48,'AR Historical Financials'!$C$8:$C$93,'AR Historical Financials'!O$8:O$93)</f>
        <v>0</v>
      </c>
      <c r="Q48" s="11">
        <f>_xlfn.XLOOKUP($D48,'AR Historical Financials'!$C$8:$C$93,'AR Historical Financials'!P$8:P$93)</f>
        <v>0</v>
      </c>
      <c r="R48" s="11"/>
      <c r="S48" s="11">
        <f>IFERROR(SUMIFS($E48:$Q48,$E$5:$Q$5,"&gt;="&amp;S$4,$E$5:$Q$5,"&lt;="&amp;S$5),0)*S$2</f>
        <v>0</v>
      </c>
      <c r="T48" s="11">
        <f>IFERROR(SUMIFS($E48:$Q48,$E$5:$Q$5,"&gt;="&amp;T$4,$E$5:$Q$5,"&lt;="&amp;T$5),0)*T$2</f>
        <v>0</v>
      </c>
      <c r="U48" s="11">
        <f>IFERROR(SUMIFS($E48:$Q48,$E$5:$Q$5,"&gt;="&amp;U$4,$E$5:$Q$5,"&lt;="&amp;U$5),0)*U$2</f>
        <v>0</v>
      </c>
    </row>
    <row r="49" spans="2:21" x14ac:dyDescent="0.25"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2:21" x14ac:dyDescent="0.25">
      <c r="B50" s="27" t="str">
        <f>_xlfn.LET(_xlpm.r,_xlfn.XLOOKUP(D50,'AR PnL Mapping'!$C$3:$C$60,'AR PnL Mapping'!$B$3:$B$60,""),IF(OR(_xlpm.r="",_xlpm.r=0),"",_xlpm.r))</f>
        <v>Wages - Culinary</v>
      </c>
      <c r="D50" t="s">
        <v>90</v>
      </c>
      <c r="F50" s="11">
        <f>_xlfn.XLOOKUP($D50,'AR Historical Financials'!$C$8:$C$93,'AR Historical Financials'!E$8:E$93)</f>
        <v>24823</v>
      </c>
      <c r="G50" s="11">
        <f>_xlfn.XLOOKUP($D50,'AR Historical Financials'!$C$8:$C$93,'AR Historical Financials'!F$8:F$93)</f>
        <v>24567</v>
      </c>
      <c r="H50" s="11">
        <f>_xlfn.XLOOKUP($D50,'AR Historical Financials'!$C$8:$C$93,'AR Historical Financials'!G$8:G$93)</f>
        <v>24610</v>
      </c>
      <c r="I50" s="11">
        <f>_xlfn.XLOOKUP($D50,'AR Historical Financials'!$C$8:$C$93,'AR Historical Financials'!H$8:H$93)</f>
        <v>24904</v>
      </c>
      <c r="J50" s="11">
        <f>_xlfn.XLOOKUP($D50,'AR Historical Financials'!$C$8:$C$93,'AR Historical Financials'!I$8:I$93)</f>
        <v>25129</v>
      </c>
      <c r="K50" s="11">
        <f>_xlfn.XLOOKUP($D50,'AR Historical Financials'!$C$8:$C$93,'AR Historical Financials'!J$8:J$93)</f>
        <v>25038</v>
      </c>
      <c r="L50" s="11">
        <f>_xlfn.XLOOKUP($D50,'AR Historical Financials'!$C$8:$C$93,'AR Historical Financials'!K$8:K$93)</f>
        <v>24731</v>
      </c>
      <c r="M50" s="11">
        <f>_xlfn.XLOOKUP($D50,'AR Historical Financials'!$C$8:$C$93,'AR Historical Financials'!L$8:L$93)</f>
        <v>24543</v>
      </c>
      <c r="N50" s="11">
        <f>_xlfn.XLOOKUP($D50,'AR Historical Financials'!$C$8:$C$93,'AR Historical Financials'!M$8:M$93)</f>
        <v>24680</v>
      </c>
      <c r="O50" s="11">
        <f>_xlfn.XLOOKUP($D50,'AR Historical Financials'!$C$8:$C$93,'AR Historical Financials'!N$8:N$93)</f>
        <v>24992</v>
      </c>
      <c r="P50" s="11">
        <f>_xlfn.XLOOKUP($D50,'AR Historical Financials'!$C$8:$C$93,'AR Historical Financials'!O$8:O$93)</f>
        <v>25137</v>
      </c>
      <c r="Q50" s="11">
        <f>_xlfn.XLOOKUP($D50,'AR Historical Financials'!$C$8:$C$93,'AR Historical Financials'!P$8:P$93)</f>
        <v>24958</v>
      </c>
      <c r="R50" s="11"/>
      <c r="S50" s="11">
        <f t="shared" ref="S50:U53" si="15">IFERROR(SUMIFS($E50:$Q50,$E$5:$Q$5,"&gt;="&amp;S$4,$E$5:$Q$5,"&lt;="&amp;S$5),0)*S$2</f>
        <v>298112</v>
      </c>
      <c r="T50" s="11">
        <f t="shared" si="15"/>
        <v>298082</v>
      </c>
      <c r="U50" s="11">
        <f t="shared" si="15"/>
        <v>300348</v>
      </c>
    </row>
    <row r="51" spans="2:21" x14ac:dyDescent="0.25">
      <c r="B51" s="27" t="str">
        <f>_xlfn.LET(_xlpm.r,_xlfn.XLOOKUP(D51,'AR PnL Mapping'!$C$3:$C$60,'AR PnL Mapping'!$B$3:$B$60,""),IF(OR(_xlpm.r="",_xlpm.r=0),"",_xlpm.r))</f>
        <v>Wages - Culinary</v>
      </c>
      <c r="D51" t="s">
        <v>91</v>
      </c>
      <c r="F51" s="11">
        <f>_xlfn.XLOOKUP($D51,'AR Historical Financials'!$C$8:$C$93,'AR Historical Financials'!E$8:E$93)</f>
        <v>4749</v>
      </c>
      <c r="G51" s="11">
        <f>_xlfn.XLOOKUP($D51,'AR Historical Financials'!$C$8:$C$93,'AR Historical Financials'!F$8:F$93)</f>
        <v>4728</v>
      </c>
      <c r="H51" s="11">
        <f>_xlfn.XLOOKUP($D51,'AR Historical Financials'!$C$8:$C$93,'AR Historical Financials'!G$8:G$93)</f>
        <v>4768</v>
      </c>
      <c r="I51" s="11">
        <f>_xlfn.XLOOKUP($D51,'AR Historical Financials'!$C$8:$C$93,'AR Historical Financials'!H$8:H$93)</f>
        <v>4826</v>
      </c>
      <c r="J51" s="11">
        <f>_xlfn.XLOOKUP($D51,'AR Historical Financials'!$C$8:$C$93,'AR Historical Financials'!I$8:I$93)</f>
        <v>4838</v>
      </c>
      <c r="K51" s="11">
        <f>_xlfn.XLOOKUP($D51,'AR Historical Financials'!$C$8:$C$93,'AR Historical Financials'!J$8:J$93)</f>
        <v>4791</v>
      </c>
      <c r="L51" s="11">
        <f>_xlfn.XLOOKUP($D51,'AR Historical Financials'!$C$8:$C$93,'AR Historical Financials'!K$8:K$93)</f>
        <v>4736</v>
      </c>
      <c r="M51" s="11">
        <f>_xlfn.XLOOKUP($D51,'AR Historical Financials'!$C$8:$C$93,'AR Historical Financials'!L$8:L$93)</f>
        <v>4734</v>
      </c>
      <c r="N51" s="11">
        <f>_xlfn.XLOOKUP($D51,'AR Historical Financials'!$C$8:$C$93,'AR Historical Financials'!M$8:M$93)</f>
        <v>4786</v>
      </c>
      <c r="O51" s="11">
        <f>_xlfn.XLOOKUP($D51,'AR Historical Financials'!$C$8:$C$93,'AR Historical Financials'!N$8:N$93)</f>
        <v>4836</v>
      </c>
      <c r="P51" s="11">
        <f>_xlfn.XLOOKUP($D51,'AR Historical Financials'!$C$8:$C$93,'AR Historical Financials'!O$8:O$93)</f>
        <v>4829</v>
      </c>
      <c r="Q51" s="11">
        <f>_xlfn.XLOOKUP($D51,'AR Historical Financials'!$C$8:$C$93,'AR Historical Financials'!P$8:P$93)</f>
        <v>4773</v>
      </c>
      <c r="R51" s="11"/>
      <c r="S51" s="11">
        <f t="shared" si="15"/>
        <v>57394</v>
      </c>
      <c r="T51" s="11">
        <f t="shared" si="15"/>
        <v>57388</v>
      </c>
      <c r="U51" s="11">
        <f t="shared" si="15"/>
        <v>57752</v>
      </c>
    </row>
    <row r="52" spans="2:21" x14ac:dyDescent="0.25">
      <c r="B52" s="27" t="str">
        <f>_xlfn.LET(_xlpm.r,_xlfn.XLOOKUP(D52,'AR PnL Mapping'!$C$3:$C$60,'AR PnL Mapping'!$B$3:$B$60,""),IF(OR(_xlpm.r="",_xlpm.r=0),"",_xlpm.r))</f>
        <v>Raw Food</v>
      </c>
      <c r="D52" t="s">
        <v>93</v>
      </c>
      <c r="F52" s="11">
        <f>_xlfn.XLOOKUP($D52,'AR Historical Financials'!$C$8:$C$93,'AR Historical Financials'!E$8:E$93)</f>
        <v>14219</v>
      </c>
      <c r="G52" s="11">
        <f>_xlfn.XLOOKUP($D52,'AR Historical Financials'!$C$8:$C$93,'AR Historical Financials'!F$8:F$93)</f>
        <v>14256</v>
      </c>
      <c r="H52" s="11">
        <f>_xlfn.XLOOKUP($D52,'AR Historical Financials'!$C$8:$C$93,'AR Historical Financials'!G$8:G$93)</f>
        <v>14128</v>
      </c>
      <c r="I52" s="11">
        <f>_xlfn.XLOOKUP($D52,'AR Historical Financials'!$C$8:$C$93,'AR Historical Financials'!H$8:H$93)</f>
        <v>13913</v>
      </c>
      <c r="J52" s="11">
        <f>_xlfn.XLOOKUP($D52,'AR Historical Financials'!$C$8:$C$93,'AR Historical Financials'!I$8:I$93)</f>
        <v>13740</v>
      </c>
      <c r="K52" s="11">
        <f>_xlfn.XLOOKUP($D52,'AR Historical Financials'!$C$8:$C$93,'AR Historical Financials'!J$8:J$93)</f>
        <v>13716</v>
      </c>
      <c r="L52" s="11">
        <f>_xlfn.XLOOKUP($D52,'AR Historical Financials'!$C$8:$C$93,'AR Historical Financials'!K$8:K$93)</f>
        <v>13854</v>
      </c>
      <c r="M52" s="11">
        <f>_xlfn.XLOOKUP($D52,'AR Historical Financials'!$C$8:$C$93,'AR Historical Financials'!L$8:L$93)</f>
        <v>14071</v>
      </c>
      <c r="N52" s="11">
        <f>_xlfn.XLOOKUP($D52,'AR Historical Financials'!$C$8:$C$93,'AR Historical Financials'!M$8:M$93)</f>
        <v>14235</v>
      </c>
      <c r="O52" s="11">
        <f>_xlfn.XLOOKUP($D52,'AR Historical Financials'!$C$8:$C$93,'AR Historical Financials'!N$8:N$93)</f>
        <v>14247</v>
      </c>
      <c r="P52" s="11">
        <f>_xlfn.XLOOKUP($D52,'AR Historical Financials'!$C$8:$C$93,'AR Historical Financials'!O$8:O$93)</f>
        <v>14099</v>
      </c>
      <c r="Q52" s="11">
        <f>_xlfn.XLOOKUP($D52,'AR Historical Financials'!$C$8:$C$93,'AR Historical Financials'!P$8:P$93)</f>
        <v>13882</v>
      </c>
      <c r="R52" s="11"/>
      <c r="S52" s="11">
        <f t="shared" si="15"/>
        <v>168360</v>
      </c>
      <c r="T52" s="11">
        <f t="shared" si="15"/>
        <v>168776</v>
      </c>
      <c r="U52" s="11">
        <f t="shared" si="15"/>
        <v>168912</v>
      </c>
    </row>
    <row r="53" spans="2:21" x14ac:dyDescent="0.25">
      <c r="B53" s="27" t="str">
        <f>_xlfn.LET(_xlpm.r,_xlfn.XLOOKUP(D53,'AR PnL Mapping'!$C$3:$C$60,'AR PnL Mapping'!$B$3:$B$60,""),IF(OR(_xlpm.r="",_xlpm.r=0),"",_xlpm.r))</f>
        <v>Culinary</v>
      </c>
      <c r="D53" t="s">
        <v>95</v>
      </c>
      <c r="F53" s="11">
        <f>_xlfn.XLOOKUP($D53,'AR Historical Financials'!$C$8:$C$93,'AR Historical Financials'!E$8:E$93)</f>
        <v>2252</v>
      </c>
      <c r="G53" s="11">
        <f>_xlfn.XLOOKUP($D53,'AR Historical Financials'!$C$8:$C$93,'AR Historical Financials'!F$8:F$93)</f>
        <v>2234</v>
      </c>
      <c r="H53" s="11">
        <f>_xlfn.XLOOKUP($D53,'AR Historical Financials'!$C$8:$C$93,'AR Historical Financials'!G$8:G$93)</f>
        <v>2193</v>
      </c>
      <c r="I53" s="11">
        <f>_xlfn.XLOOKUP($D53,'AR Historical Financials'!$C$8:$C$93,'AR Historical Financials'!H$8:H$93)</f>
        <v>2165</v>
      </c>
      <c r="J53" s="11">
        <f>_xlfn.XLOOKUP($D53,'AR Historical Financials'!$C$8:$C$93,'AR Historical Financials'!I$8:I$93)</f>
        <v>2177</v>
      </c>
      <c r="K53" s="11">
        <f>_xlfn.XLOOKUP($D53,'AR Historical Financials'!$C$8:$C$93,'AR Historical Financials'!J$8:J$93)</f>
        <v>2217</v>
      </c>
      <c r="L53" s="11">
        <f>_xlfn.XLOOKUP($D53,'AR Historical Financials'!$C$8:$C$93,'AR Historical Financials'!K$8:K$93)</f>
        <v>2249</v>
      </c>
      <c r="M53" s="11">
        <f>_xlfn.XLOOKUP($D53,'AR Historical Financials'!$C$8:$C$93,'AR Historical Financials'!L$8:L$93)</f>
        <v>2243</v>
      </c>
      <c r="N53" s="11">
        <f>_xlfn.XLOOKUP($D53,'AR Historical Financials'!$C$8:$C$93,'AR Historical Financials'!M$8:M$93)</f>
        <v>2205</v>
      </c>
      <c r="O53" s="11">
        <f>_xlfn.XLOOKUP($D53,'AR Historical Financials'!$C$8:$C$93,'AR Historical Financials'!N$8:N$93)</f>
        <v>2169</v>
      </c>
      <c r="P53" s="11">
        <f>_xlfn.XLOOKUP($D53,'AR Historical Financials'!$C$8:$C$93,'AR Historical Financials'!O$8:O$93)</f>
        <v>2169</v>
      </c>
      <c r="Q53" s="11">
        <f>_xlfn.XLOOKUP($D53,'AR Historical Financials'!$C$8:$C$93,'AR Historical Financials'!P$8:P$93)</f>
        <v>2205</v>
      </c>
      <c r="R53" s="11"/>
      <c r="S53" s="11">
        <f t="shared" si="15"/>
        <v>26478</v>
      </c>
      <c r="T53" s="11">
        <f t="shared" si="15"/>
        <v>26480</v>
      </c>
      <c r="U53" s="11">
        <f t="shared" si="15"/>
        <v>26172</v>
      </c>
    </row>
    <row r="54" spans="2:21" x14ac:dyDescent="0.25"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2:21" x14ac:dyDescent="0.25">
      <c r="B55" s="27" t="str">
        <f>_xlfn.LET(_xlpm.r,_xlfn.XLOOKUP(D55,'AR PnL Mapping'!$C$3:$C$60,'AR PnL Mapping'!$B$3:$B$60,""),IF(OR(_xlpm.r="",_xlpm.r=0),"",_xlpm.r))</f>
        <v/>
      </c>
      <c r="D55" s="12" t="s">
        <v>58</v>
      </c>
      <c r="E55" s="12"/>
      <c r="F55" s="13">
        <f>_xlfn.XLOOKUP($D55,'AR Historical Financials'!$C$8:$C$93,'AR Historical Financials'!E$8:E$93)</f>
        <v>46043</v>
      </c>
      <c r="G55" s="13">
        <f>_xlfn.XLOOKUP($D55,'AR Historical Financials'!$C$8:$C$93,'AR Historical Financials'!F$8:F$93)</f>
        <v>45785</v>
      </c>
      <c r="H55" s="13">
        <f>_xlfn.XLOOKUP($D55,'AR Historical Financials'!$C$8:$C$93,'AR Historical Financials'!G$8:G$93)</f>
        <v>45699</v>
      </c>
      <c r="I55" s="13">
        <f>_xlfn.XLOOKUP($D55,'AR Historical Financials'!$C$8:$C$93,'AR Historical Financials'!H$8:H$93)</f>
        <v>45808</v>
      </c>
      <c r="J55" s="13">
        <f>_xlfn.XLOOKUP($D55,'AR Historical Financials'!$C$8:$C$93,'AR Historical Financials'!I$8:I$93)</f>
        <v>45884</v>
      </c>
      <c r="K55" s="13">
        <f>_xlfn.XLOOKUP($D55,'AR Historical Financials'!$C$8:$C$93,'AR Historical Financials'!J$8:J$93)</f>
        <v>45762</v>
      </c>
      <c r="L55" s="13">
        <f>_xlfn.XLOOKUP($D55,'AR Historical Financials'!$C$8:$C$93,'AR Historical Financials'!K$8:K$93)</f>
        <v>45570</v>
      </c>
      <c r="M55" s="13">
        <f>_xlfn.XLOOKUP($D55,'AR Historical Financials'!$C$8:$C$93,'AR Historical Financials'!L$8:L$93)</f>
        <v>45591</v>
      </c>
      <c r="N55" s="13">
        <f>_xlfn.XLOOKUP($D55,'AR Historical Financials'!$C$8:$C$93,'AR Historical Financials'!M$8:M$93)</f>
        <v>45906</v>
      </c>
      <c r="O55" s="13">
        <f>_xlfn.XLOOKUP($D55,'AR Historical Financials'!$C$8:$C$93,'AR Historical Financials'!N$8:N$93)</f>
        <v>46244</v>
      </c>
      <c r="P55" s="13">
        <f>_xlfn.XLOOKUP($D55,'AR Historical Financials'!$C$8:$C$93,'AR Historical Financials'!O$8:O$93)</f>
        <v>46234</v>
      </c>
      <c r="Q55" s="13">
        <f>_xlfn.XLOOKUP($D55,'AR Historical Financials'!$C$8:$C$93,'AR Historical Financials'!P$8:P$93)</f>
        <v>45818</v>
      </c>
      <c r="R55" s="11"/>
      <c r="S55" s="13">
        <f>IFERROR(SUMIFS($E55:$Q55,$E$5:$Q$5,"&gt;="&amp;S$4,$E$5:$Q$5,"&lt;="&amp;S$5),0)*S$2</f>
        <v>550344</v>
      </c>
      <c r="T55" s="13">
        <f>IFERROR(SUMIFS($E55:$Q55,$E$5:$Q$5,"&gt;="&amp;T$4,$E$5:$Q$5,"&lt;="&amp;T$5),0)*T$2</f>
        <v>550726</v>
      </c>
      <c r="U55" s="13">
        <f>IFERROR(SUMIFS($E55:$Q55,$E$5:$Q$5,"&gt;="&amp;U$4,$E$5:$Q$5,"&lt;="&amp;U$5),0)*U$2</f>
        <v>553184</v>
      </c>
    </row>
    <row r="56" spans="2:21" x14ac:dyDescent="0.25"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2:21" x14ac:dyDescent="0.25">
      <c r="B57" s="27" t="str">
        <f>_xlfn.LET(_xlpm.r,_xlfn.XLOOKUP(D57,'AR PnL Mapping'!$C$3:$C$60,'AR PnL Mapping'!$B$3:$B$60,""),IF(OR(_xlpm.r="",_xlpm.r=0),"",_xlpm.r))</f>
        <v>Wages - Activities</v>
      </c>
      <c r="D57" t="s">
        <v>97</v>
      </c>
      <c r="F57" s="11">
        <f>_xlfn.XLOOKUP($D57,'AR Historical Financials'!$C$8:$C$93,'AR Historical Financials'!E$8:E$93)</f>
        <v>6209</v>
      </c>
      <c r="G57" s="11">
        <f>_xlfn.XLOOKUP($D57,'AR Historical Financials'!$C$8:$C$93,'AR Historical Financials'!F$8:F$93)</f>
        <v>6286</v>
      </c>
      <c r="H57" s="11">
        <f>_xlfn.XLOOKUP($D57,'AR Historical Financials'!$C$8:$C$93,'AR Historical Financials'!G$8:G$93)</f>
        <v>6331</v>
      </c>
      <c r="I57" s="11">
        <f>_xlfn.XLOOKUP($D57,'AR Historical Financials'!$C$8:$C$93,'AR Historical Financials'!H$8:H$93)</f>
        <v>6294</v>
      </c>
      <c r="J57" s="11">
        <f>_xlfn.XLOOKUP($D57,'AR Historical Financials'!$C$8:$C$93,'AR Historical Financials'!I$8:I$93)</f>
        <v>6215</v>
      </c>
      <c r="K57" s="11">
        <f>_xlfn.XLOOKUP($D57,'AR Historical Financials'!$C$8:$C$93,'AR Historical Financials'!J$8:J$93)</f>
        <v>6181</v>
      </c>
      <c r="L57" s="11">
        <f>_xlfn.XLOOKUP($D57,'AR Historical Financials'!$C$8:$C$93,'AR Historical Financials'!K$8:K$93)</f>
        <v>6229</v>
      </c>
      <c r="M57" s="11">
        <f>_xlfn.XLOOKUP($D57,'AR Historical Financials'!$C$8:$C$93,'AR Historical Financials'!L$8:L$93)</f>
        <v>6306</v>
      </c>
      <c r="N57" s="11">
        <f>_xlfn.XLOOKUP($D57,'AR Historical Financials'!$C$8:$C$93,'AR Historical Financials'!M$8:M$93)</f>
        <v>6328</v>
      </c>
      <c r="O57" s="11">
        <f>_xlfn.XLOOKUP($D57,'AR Historical Financials'!$C$8:$C$93,'AR Historical Financials'!N$8:N$93)</f>
        <v>6271</v>
      </c>
      <c r="P57" s="11">
        <f>_xlfn.XLOOKUP($D57,'AR Historical Financials'!$C$8:$C$93,'AR Historical Financials'!O$8:O$93)</f>
        <v>6198</v>
      </c>
      <c r="Q57" s="11">
        <f>_xlfn.XLOOKUP($D57,'AR Historical Financials'!$C$8:$C$93,'AR Historical Financials'!P$8:P$93)</f>
        <v>6187</v>
      </c>
      <c r="R57" s="11"/>
      <c r="S57" s="11">
        <f>IFERROR(SUMIFS($E57:$Q57,$E$5:$Q$5,"&gt;="&amp;S$4,$E$5:$Q$5,"&lt;="&amp;S$5),0)*S$2</f>
        <v>75035</v>
      </c>
      <c r="T57" s="11">
        <f>IFERROR(SUMIFS($E57:$Q57,$E$5:$Q$5,"&gt;="&amp;T$4,$E$5:$Q$5,"&lt;="&amp;T$5),0)*T$2</f>
        <v>75038</v>
      </c>
      <c r="U57" s="11">
        <f>IFERROR(SUMIFS($E57:$Q57,$E$5:$Q$5,"&gt;="&amp;U$4,$E$5:$Q$5,"&lt;="&amp;U$5),0)*U$2</f>
        <v>74624</v>
      </c>
    </row>
    <row r="58" spans="2:21" x14ac:dyDescent="0.25"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2:21" x14ac:dyDescent="0.25">
      <c r="B59" s="27" t="str">
        <f>_xlfn.LET(_xlpm.r,_xlfn.XLOOKUP(D59,'AR PnL Mapping'!$C$3:$C$60,'AR PnL Mapping'!$B$3:$B$60,""),IF(OR(_xlpm.r="",_xlpm.r=0),"",_xlpm.r))</f>
        <v/>
      </c>
      <c r="D59" s="12" t="s">
        <v>59</v>
      </c>
      <c r="E59" s="12"/>
      <c r="F59" s="13">
        <f>_xlfn.XLOOKUP($D59,'AR Historical Financials'!$C$8:$C$93,'AR Historical Financials'!E$8:E$93)</f>
        <v>6209</v>
      </c>
      <c r="G59" s="13">
        <f>_xlfn.XLOOKUP($D59,'AR Historical Financials'!$C$8:$C$93,'AR Historical Financials'!F$8:F$93)</f>
        <v>6286</v>
      </c>
      <c r="H59" s="13">
        <f>_xlfn.XLOOKUP($D59,'AR Historical Financials'!$C$8:$C$93,'AR Historical Financials'!G$8:G$93)</f>
        <v>6331</v>
      </c>
      <c r="I59" s="13">
        <f>_xlfn.XLOOKUP($D59,'AR Historical Financials'!$C$8:$C$93,'AR Historical Financials'!H$8:H$93)</f>
        <v>6294</v>
      </c>
      <c r="J59" s="13">
        <f>_xlfn.XLOOKUP($D59,'AR Historical Financials'!$C$8:$C$93,'AR Historical Financials'!I$8:I$93)</f>
        <v>6215</v>
      </c>
      <c r="K59" s="13">
        <f>_xlfn.XLOOKUP($D59,'AR Historical Financials'!$C$8:$C$93,'AR Historical Financials'!J$8:J$93)</f>
        <v>6181</v>
      </c>
      <c r="L59" s="13">
        <f>_xlfn.XLOOKUP($D59,'AR Historical Financials'!$C$8:$C$93,'AR Historical Financials'!K$8:K$93)</f>
        <v>6229</v>
      </c>
      <c r="M59" s="13">
        <f>_xlfn.XLOOKUP($D59,'AR Historical Financials'!$C$8:$C$93,'AR Historical Financials'!L$8:L$93)</f>
        <v>6306</v>
      </c>
      <c r="N59" s="13">
        <f>_xlfn.XLOOKUP($D59,'AR Historical Financials'!$C$8:$C$93,'AR Historical Financials'!M$8:M$93)</f>
        <v>6328</v>
      </c>
      <c r="O59" s="13">
        <f>_xlfn.XLOOKUP($D59,'AR Historical Financials'!$C$8:$C$93,'AR Historical Financials'!N$8:N$93)</f>
        <v>6271</v>
      </c>
      <c r="P59" s="13">
        <f>_xlfn.XLOOKUP($D59,'AR Historical Financials'!$C$8:$C$93,'AR Historical Financials'!O$8:O$93)</f>
        <v>6198</v>
      </c>
      <c r="Q59" s="13">
        <f>_xlfn.XLOOKUP($D59,'AR Historical Financials'!$C$8:$C$93,'AR Historical Financials'!P$8:P$93)</f>
        <v>6187</v>
      </c>
      <c r="R59" s="11"/>
      <c r="S59" s="13">
        <f>IFERROR(SUMIFS($E59:$Q59,$E$5:$Q$5,"&gt;="&amp;S$4,$E$5:$Q$5,"&lt;="&amp;S$5),0)*S$2</f>
        <v>75035</v>
      </c>
      <c r="T59" s="13">
        <f>IFERROR(SUMIFS($E59:$Q59,$E$5:$Q$5,"&gt;="&amp;T$4,$E$5:$Q$5,"&lt;="&amp;T$5),0)*T$2</f>
        <v>75038</v>
      </c>
      <c r="U59" s="13">
        <f>IFERROR(SUMIFS($E59:$Q59,$E$5:$Q$5,"&gt;="&amp;U$4,$E$5:$Q$5,"&lt;="&amp;U$5),0)*U$2</f>
        <v>74624</v>
      </c>
    </row>
    <row r="60" spans="2:21" x14ac:dyDescent="0.25"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2:21" x14ac:dyDescent="0.25">
      <c r="B61" s="27" t="str">
        <f>_xlfn.LET(_xlpm.r,_xlfn.XLOOKUP(D61,'AR PnL Mapping'!$C$3:$C$60,'AR PnL Mapping'!$B$3:$B$60,""),IF(OR(_xlpm.r="",_xlpm.r=0),"",_xlpm.r))</f>
        <v>Wages - Direct Care</v>
      </c>
      <c r="D61" t="s">
        <v>99</v>
      </c>
      <c r="F61" s="11">
        <f>_xlfn.XLOOKUP($D61,'AR Historical Financials'!$C$8:$C$93,'AR Historical Financials'!E$8:E$93)</f>
        <v>45613</v>
      </c>
      <c r="G61" s="11">
        <f>_xlfn.XLOOKUP($D61,'AR Historical Financials'!$C$8:$C$93,'AR Historical Financials'!F$8:F$93)</f>
        <v>45404</v>
      </c>
      <c r="H61" s="11">
        <f>_xlfn.XLOOKUP($D61,'AR Historical Financials'!$C$8:$C$93,'AR Historical Financials'!G$8:G$93)</f>
        <v>44841</v>
      </c>
      <c r="I61" s="11">
        <f>_xlfn.XLOOKUP($D61,'AR Historical Financials'!$C$8:$C$93,'AR Historical Financials'!H$8:H$93)</f>
        <v>44539</v>
      </c>
      <c r="J61" s="11">
        <f>_xlfn.XLOOKUP($D61,'AR Historical Financials'!$C$8:$C$93,'AR Historical Financials'!I$8:I$93)</f>
        <v>44829</v>
      </c>
      <c r="K61" s="11">
        <f>_xlfn.XLOOKUP($D61,'AR Historical Financials'!$C$8:$C$93,'AR Historical Financials'!J$8:J$93)</f>
        <v>45393</v>
      </c>
      <c r="L61" s="11">
        <f>_xlfn.XLOOKUP($D61,'AR Historical Financials'!$C$8:$C$93,'AR Historical Financials'!K$8:K$93)</f>
        <v>45615</v>
      </c>
      <c r="M61" s="11">
        <f>_xlfn.XLOOKUP($D61,'AR Historical Financials'!$C$8:$C$93,'AR Historical Financials'!L$8:L$93)</f>
        <v>45253</v>
      </c>
      <c r="N61" s="11">
        <f>_xlfn.XLOOKUP($D61,'AR Historical Financials'!$C$8:$C$93,'AR Historical Financials'!M$8:M$93)</f>
        <v>44701</v>
      </c>
      <c r="O61" s="11">
        <f>_xlfn.XLOOKUP($D61,'AR Historical Financials'!$C$8:$C$93,'AR Historical Financials'!N$8:N$93)</f>
        <v>44564</v>
      </c>
      <c r="P61" s="11">
        <f>_xlfn.XLOOKUP($D61,'AR Historical Financials'!$C$8:$C$93,'AR Historical Financials'!O$8:O$93)</f>
        <v>44990</v>
      </c>
      <c r="Q61" s="11">
        <f>_xlfn.XLOOKUP($D61,'AR Historical Financials'!$C$8:$C$93,'AR Historical Financials'!P$8:P$93)</f>
        <v>45515</v>
      </c>
      <c r="R61" s="11"/>
      <c r="S61" s="11">
        <f t="shared" ref="S61:U64" si="16">IFERROR(SUMIFS($E61:$Q61,$E$5:$Q$5,"&gt;="&amp;S$4,$E$5:$Q$5,"&lt;="&amp;S$5),0)*S$2</f>
        <v>541257</v>
      </c>
      <c r="T61" s="11">
        <f t="shared" si="16"/>
        <v>541276</v>
      </c>
      <c r="U61" s="11">
        <f t="shared" si="16"/>
        <v>540276</v>
      </c>
    </row>
    <row r="62" spans="2:21" x14ac:dyDescent="0.25">
      <c r="B62" s="27" t="str">
        <f>_xlfn.LET(_xlpm.r,_xlfn.XLOOKUP(D62,'AR PnL Mapping'!$C$3:$C$60,'AR PnL Mapping'!$B$3:$B$60,""),IF(OR(_xlpm.r="",_xlpm.r=0),"",_xlpm.r))</f>
        <v>Wages - Direct Care</v>
      </c>
      <c r="D62" t="s">
        <v>100</v>
      </c>
      <c r="F62" s="11">
        <f>_xlfn.XLOOKUP($D62,'AR Historical Financials'!$C$8:$C$93,'AR Historical Financials'!E$8:E$93)</f>
        <v>17206</v>
      </c>
      <c r="G62" s="11">
        <f>_xlfn.XLOOKUP($D62,'AR Historical Financials'!$C$8:$C$93,'AR Historical Financials'!F$8:F$93)</f>
        <v>17028</v>
      </c>
      <c r="H62" s="11">
        <f>_xlfn.XLOOKUP($D62,'AR Historical Financials'!$C$8:$C$93,'AR Historical Financials'!G$8:G$93)</f>
        <v>16842</v>
      </c>
      <c r="I62" s="11">
        <f>_xlfn.XLOOKUP($D62,'AR Historical Financials'!$C$8:$C$93,'AR Historical Financials'!H$8:H$93)</f>
        <v>16850</v>
      </c>
      <c r="J62" s="11">
        <f>_xlfn.XLOOKUP($D62,'AR Historical Financials'!$C$8:$C$93,'AR Historical Financials'!I$8:I$93)</f>
        <v>17044</v>
      </c>
      <c r="K62" s="11">
        <f>_xlfn.XLOOKUP($D62,'AR Historical Financials'!$C$8:$C$93,'AR Historical Financials'!J$8:J$93)</f>
        <v>17212</v>
      </c>
      <c r="L62" s="11">
        <f>_xlfn.XLOOKUP($D62,'AR Historical Financials'!$C$8:$C$93,'AR Historical Financials'!K$8:K$93)</f>
        <v>17170</v>
      </c>
      <c r="M62" s="11">
        <f>_xlfn.XLOOKUP($D62,'AR Historical Financials'!$C$8:$C$93,'AR Historical Financials'!L$8:L$93)</f>
        <v>16964</v>
      </c>
      <c r="N62" s="11">
        <f>_xlfn.XLOOKUP($D62,'AR Historical Financials'!$C$8:$C$93,'AR Historical Financials'!M$8:M$93)</f>
        <v>16820</v>
      </c>
      <c r="O62" s="11">
        <f>_xlfn.XLOOKUP($D62,'AR Historical Financials'!$C$8:$C$93,'AR Historical Financials'!N$8:N$93)</f>
        <v>16894</v>
      </c>
      <c r="P62" s="11">
        <f>_xlfn.XLOOKUP($D62,'AR Historical Financials'!$C$8:$C$93,'AR Historical Financials'!O$8:O$93)</f>
        <v>17106</v>
      </c>
      <c r="Q62" s="11">
        <f>_xlfn.XLOOKUP($D62,'AR Historical Financials'!$C$8:$C$93,'AR Historical Financials'!P$8:P$93)</f>
        <v>17224</v>
      </c>
      <c r="R62" s="11"/>
      <c r="S62" s="11">
        <f t="shared" si="16"/>
        <v>204360</v>
      </c>
      <c r="T62" s="11">
        <f t="shared" si="16"/>
        <v>204356</v>
      </c>
      <c r="U62" s="11">
        <f t="shared" si="16"/>
        <v>204896</v>
      </c>
    </row>
    <row r="63" spans="2:21" x14ac:dyDescent="0.25">
      <c r="B63" s="27" t="str">
        <f>_xlfn.LET(_xlpm.r,_xlfn.XLOOKUP(D63,'AR PnL Mapping'!$C$3:$C$60,'AR PnL Mapping'!$B$3:$B$60,""),IF(OR(_xlpm.r="",_xlpm.r=0),"",_xlpm.r))</f>
        <v>Wages - Direct Care</v>
      </c>
      <c r="D63" t="s">
        <v>101</v>
      </c>
      <c r="F63" s="11">
        <f>_xlfn.XLOOKUP($D63,'AR Historical Financials'!$C$8:$C$93,'AR Historical Financials'!E$8:E$93)</f>
        <v>5554</v>
      </c>
      <c r="G63" s="11">
        <f>_xlfn.XLOOKUP($D63,'AR Historical Financials'!$C$8:$C$93,'AR Historical Financials'!F$8:F$93)</f>
        <v>5485</v>
      </c>
      <c r="H63" s="11">
        <f>_xlfn.XLOOKUP($D63,'AR Historical Financials'!$C$8:$C$93,'AR Historical Financials'!G$8:G$93)</f>
        <v>5454</v>
      </c>
      <c r="I63" s="11">
        <f>_xlfn.XLOOKUP($D63,'AR Historical Financials'!$C$8:$C$93,'AR Historical Financials'!H$8:H$93)</f>
        <v>5495</v>
      </c>
      <c r="J63" s="11">
        <f>_xlfn.XLOOKUP($D63,'AR Historical Financials'!$C$8:$C$93,'AR Historical Financials'!I$8:I$93)</f>
        <v>5564</v>
      </c>
      <c r="K63" s="11">
        <f>_xlfn.XLOOKUP($D63,'AR Historical Financials'!$C$8:$C$93,'AR Historical Financials'!J$8:J$93)</f>
        <v>5584</v>
      </c>
      <c r="L63" s="11">
        <f>_xlfn.XLOOKUP($D63,'AR Historical Financials'!$C$8:$C$93,'AR Historical Financials'!K$8:K$93)</f>
        <v>5535</v>
      </c>
      <c r="M63" s="11">
        <f>_xlfn.XLOOKUP($D63,'AR Historical Financials'!$C$8:$C$93,'AR Historical Financials'!L$8:L$93)</f>
        <v>5469</v>
      </c>
      <c r="N63" s="11">
        <f>_xlfn.XLOOKUP($D63,'AR Historical Financials'!$C$8:$C$93,'AR Historical Financials'!M$8:M$93)</f>
        <v>5459</v>
      </c>
      <c r="O63" s="11">
        <f>_xlfn.XLOOKUP($D63,'AR Historical Financials'!$C$8:$C$93,'AR Historical Financials'!N$8:N$93)</f>
        <v>5516</v>
      </c>
      <c r="P63" s="11">
        <f>_xlfn.XLOOKUP($D63,'AR Historical Financials'!$C$8:$C$93,'AR Historical Financials'!O$8:O$93)</f>
        <v>5577</v>
      </c>
      <c r="Q63" s="11">
        <f>_xlfn.XLOOKUP($D63,'AR Historical Financials'!$C$8:$C$93,'AR Historical Financials'!P$8:P$93)</f>
        <v>5576</v>
      </c>
      <c r="R63" s="11"/>
      <c r="S63" s="11">
        <f t="shared" si="16"/>
        <v>66268</v>
      </c>
      <c r="T63" s="11">
        <f t="shared" si="16"/>
        <v>66264</v>
      </c>
      <c r="U63" s="11">
        <f t="shared" si="16"/>
        <v>66676</v>
      </c>
    </row>
    <row r="64" spans="2:21" x14ac:dyDescent="0.25">
      <c r="B64" s="27" t="str">
        <f>_xlfn.LET(_xlpm.r,_xlfn.XLOOKUP(D64,'AR PnL Mapping'!$C$3:$C$60,'AR PnL Mapping'!$B$3:$B$60,""),IF(OR(_xlpm.r="",_xlpm.r=0),"",_xlpm.r))</f>
        <v>Direct Care</v>
      </c>
      <c r="D64" t="s">
        <v>103</v>
      </c>
      <c r="F64" s="11">
        <f>_xlfn.XLOOKUP($D64,'AR Historical Financials'!$C$8:$C$93,'AR Historical Financials'!E$8:E$93)</f>
        <v>3340</v>
      </c>
      <c r="G64" s="11">
        <f>_xlfn.XLOOKUP($D64,'AR Historical Financials'!$C$8:$C$93,'AR Historical Financials'!F$8:F$93)</f>
        <v>3258</v>
      </c>
      <c r="H64" s="11">
        <f>_xlfn.XLOOKUP($D64,'AR Historical Financials'!$C$8:$C$93,'AR Historical Financials'!G$8:G$93)</f>
        <v>3265</v>
      </c>
      <c r="I64" s="11">
        <f>_xlfn.XLOOKUP($D64,'AR Historical Financials'!$C$8:$C$93,'AR Historical Financials'!H$8:H$93)</f>
        <v>3350</v>
      </c>
      <c r="J64" s="11">
        <f>_xlfn.XLOOKUP($D64,'AR Historical Financials'!$C$8:$C$93,'AR Historical Financials'!I$8:I$93)</f>
        <v>3372</v>
      </c>
      <c r="K64" s="11">
        <f>_xlfn.XLOOKUP($D64,'AR Historical Financials'!$C$8:$C$93,'AR Historical Financials'!J$8:J$93)</f>
        <v>3294</v>
      </c>
      <c r="L64" s="11">
        <f>_xlfn.XLOOKUP($D64,'AR Historical Financials'!$C$8:$C$93,'AR Historical Financials'!K$8:K$93)</f>
        <v>3246</v>
      </c>
      <c r="M64" s="11">
        <f>_xlfn.XLOOKUP($D64,'AR Historical Financials'!$C$8:$C$93,'AR Historical Financials'!L$8:L$93)</f>
        <v>3308</v>
      </c>
      <c r="N64" s="11">
        <f>_xlfn.XLOOKUP($D64,'AR Historical Financials'!$C$8:$C$93,'AR Historical Financials'!M$8:M$93)</f>
        <v>3376</v>
      </c>
      <c r="O64" s="11">
        <f>_xlfn.XLOOKUP($D64,'AR Historical Financials'!$C$8:$C$93,'AR Historical Financials'!N$8:N$93)</f>
        <v>3338</v>
      </c>
      <c r="P64" s="11">
        <f>_xlfn.XLOOKUP($D64,'AR Historical Financials'!$C$8:$C$93,'AR Historical Financials'!O$8:O$93)</f>
        <v>3257</v>
      </c>
      <c r="Q64" s="11">
        <f>_xlfn.XLOOKUP($D64,'AR Historical Financials'!$C$8:$C$93,'AR Historical Financials'!P$8:P$93)</f>
        <v>3267</v>
      </c>
      <c r="R64" s="11"/>
      <c r="S64" s="11">
        <f t="shared" si="16"/>
        <v>39671</v>
      </c>
      <c r="T64" s="11">
        <f t="shared" si="16"/>
        <v>39584</v>
      </c>
      <c r="U64" s="11">
        <f t="shared" si="16"/>
        <v>39448</v>
      </c>
    </row>
    <row r="65" spans="2:21" x14ac:dyDescent="0.25"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2:21" x14ac:dyDescent="0.25">
      <c r="B66" s="27" t="str">
        <f>_xlfn.LET(_xlpm.r,_xlfn.XLOOKUP(D66,'AR PnL Mapping'!$C$3:$C$60,'AR PnL Mapping'!$B$3:$B$60,""),IF(OR(_xlpm.r="",_xlpm.r=0),"",_xlpm.r))</f>
        <v/>
      </c>
      <c r="D66" s="12" t="s">
        <v>60</v>
      </c>
      <c r="E66" s="12"/>
      <c r="F66" s="13">
        <f>_xlfn.XLOOKUP($D66,'AR Historical Financials'!$C$8:$C$93,'AR Historical Financials'!E$8:E$93)</f>
        <v>71713</v>
      </c>
      <c r="G66" s="13">
        <f>_xlfn.XLOOKUP($D66,'AR Historical Financials'!$C$8:$C$93,'AR Historical Financials'!F$8:F$93)</f>
        <v>71175</v>
      </c>
      <c r="H66" s="13">
        <f>_xlfn.XLOOKUP($D66,'AR Historical Financials'!$C$8:$C$93,'AR Historical Financials'!G$8:G$93)</f>
        <v>70402</v>
      </c>
      <c r="I66" s="13">
        <f>_xlfn.XLOOKUP($D66,'AR Historical Financials'!$C$8:$C$93,'AR Historical Financials'!H$8:H$93)</f>
        <v>70234</v>
      </c>
      <c r="J66" s="13">
        <f>_xlfn.XLOOKUP($D66,'AR Historical Financials'!$C$8:$C$93,'AR Historical Financials'!I$8:I$93)</f>
        <v>70809</v>
      </c>
      <c r="K66" s="13">
        <f>_xlfn.XLOOKUP($D66,'AR Historical Financials'!$C$8:$C$93,'AR Historical Financials'!J$8:J$93)</f>
        <v>71483</v>
      </c>
      <c r="L66" s="13">
        <f>_xlfn.XLOOKUP($D66,'AR Historical Financials'!$C$8:$C$93,'AR Historical Financials'!K$8:K$93)</f>
        <v>71566</v>
      </c>
      <c r="M66" s="13">
        <f>_xlfn.XLOOKUP($D66,'AR Historical Financials'!$C$8:$C$93,'AR Historical Financials'!L$8:L$93)</f>
        <v>70994</v>
      </c>
      <c r="N66" s="13">
        <f>_xlfn.XLOOKUP($D66,'AR Historical Financials'!$C$8:$C$93,'AR Historical Financials'!M$8:M$93)</f>
        <v>70356</v>
      </c>
      <c r="O66" s="13">
        <f>_xlfn.XLOOKUP($D66,'AR Historical Financials'!$C$8:$C$93,'AR Historical Financials'!N$8:N$93)</f>
        <v>70312</v>
      </c>
      <c r="P66" s="13">
        <f>_xlfn.XLOOKUP($D66,'AR Historical Financials'!$C$8:$C$93,'AR Historical Financials'!O$8:O$93)</f>
        <v>70930</v>
      </c>
      <c r="Q66" s="13">
        <f>_xlfn.XLOOKUP($D66,'AR Historical Financials'!$C$8:$C$93,'AR Historical Financials'!P$8:P$93)</f>
        <v>71582</v>
      </c>
      <c r="R66" s="11"/>
      <c r="S66" s="13">
        <f>IFERROR(SUMIFS($E66:$Q66,$E$5:$Q$5,"&gt;="&amp;S$4,$E$5:$Q$5,"&lt;="&amp;S$5),0)*S$2</f>
        <v>851556</v>
      </c>
      <c r="T66" s="13">
        <f>IFERROR(SUMIFS($E66:$Q66,$E$5:$Q$5,"&gt;="&amp;T$4,$E$5:$Q$5,"&lt;="&amp;T$5),0)*T$2</f>
        <v>851480</v>
      </c>
      <c r="U66" s="13">
        <f>IFERROR(SUMIFS($E66:$Q66,$E$5:$Q$5,"&gt;="&amp;U$4,$E$5:$Q$5,"&lt;="&amp;U$5),0)*U$2</f>
        <v>851296</v>
      </c>
    </row>
    <row r="67" spans="2:21" x14ac:dyDescent="0.25"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2:21" x14ac:dyDescent="0.25">
      <c r="B68" s="27" t="str">
        <f>_xlfn.LET(_xlpm.r,_xlfn.XLOOKUP(D68,'AR PnL Mapping'!$C$3:$C$60,'AR PnL Mapping'!$B$3:$B$60,""),IF(OR(_xlpm.r="",_xlpm.r=0),"",_xlpm.r))</f>
        <v>Wages - Maintenance</v>
      </c>
      <c r="D68" t="s">
        <v>105</v>
      </c>
      <c r="F68" s="11">
        <f>_xlfn.XLOOKUP($D68,'AR Historical Financials'!$C$8:$C$93,'AR Historical Financials'!E$8:E$93)</f>
        <v>8912</v>
      </c>
      <c r="G68" s="11">
        <f>_xlfn.XLOOKUP($D68,'AR Historical Financials'!$C$8:$C$93,'AR Historical Financials'!F$8:F$93)</f>
        <v>8996</v>
      </c>
      <c r="H68" s="11">
        <f>_xlfn.XLOOKUP($D68,'AR Historical Financials'!$C$8:$C$93,'AR Historical Financials'!G$8:G$93)</f>
        <v>9102</v>
      </c>
      <c r="I68" s="11">
        <f>_xlfn.XLOOKUP($D68,'AR Historical Financials'!$C$8:$C$93,'AR Historical Financials'!H$8:H$93)</f>
        <v>9114</v>
      </c>
      <c r="J68" s="11">
        <f>_xlfn.XLOOKUP($D68,'AR Historical Financials'!$C$8:$C$93,'AR Historical Financials'!I$8:I$93)</f>
        <v>9019</v>
      </c>
      <c r="K68" s="11">
        <f>_xlfn.XLOOKUP($D68,'AR Historical Financials'!$C$8:$C$93,'AR Historical Financials'!J$8:J$93)</f>
        <v>8921</v>
      </c>
      <c r="L68" s="11">
        <f>_xlfn.XLOOKUP($D68,'AR Historical Financials'!$C$8:$C$93,'AR Historical Financials'!K$8:K$93)</f>
        <v>8927</v>
      </c>
      <c r="M68" s="11">
        <f>_xlfn.XLOOKUP($D68,'AR Historical Financials'!$C$8:$C$93,'AR Historical Financials'!L$8:L$93)</f>
        <v>9030</v>
      </c>
      <c r="N68" s="11">
        <f>_xlfn.XLOOKUP($D68,'AR Historical Financials'!$C$8:$C$93,'AR Historical Financials'!M$8:M$93)</f>
        <v>9118</v>
      </c>
      <c r="O68" s="11">
        <f>_xlfn.XLOOKUP($D68,'AR Historical Financials'!$C$8:$C$93,'AR Historical Financials'!N$8:N$93)</f>
        <v>9094</v>
      </c>
      <c r="P68" s="11">
        <f>_xlfn.XLOOKUP($D68,'AR Historical Financials'!$C$8:$C$93,'AR Historical Financials'!O$8:O$93)</f>
        <v>8985</v>
      </c>
      <c r="Q68" s="11">
        <f>_xlfn.XLOOKUP($D68,'AR Historical Financials'!$C$8:$C$93,'AR Historical Financials'!P$8:P$93)</f>
        <v>8910</v>
      </c>
      <c r="R68" s="11"/>
      <c r="S68" s="11">
        <f t="shared" ref="S68:U69" si="17">IFERROR(SUMIFS($E68:$Q68,$E$5:$Q$5,"&gt;="&amp;S$4,$E$5:$Q$5,"&lt;="&amp;S$5),0)*S$2</f>
        <v>108128</v>
      </c>
      <c r="T68" s="11">
        <f t="shared" si="17"/>
        <v>108128</v>
      </c>
      <c r="U68" s="11">
        <f t="shared" si="17"/>
        <v>107956</v>
      </c>
    </row>
    <row r="69" spans="2:21" x14ac:dyDescent="0.25">
      <c r="B69" s="27" t="str">
        <f>_xlfn.LET(_xlpm.r,_xlfn.XLOOKUP(D69,'AR PnL Mapping'!$C$3:$C$60,'AR PnL Mapping'!$B$3:$B$60,""),IF(OR(_xlpm.r="",_xlpm.r=0),"",_xlpm.r))</f>
        <v>Maintenance</v>
      </c>
      <c r="D69" t="s">
        <v>107</v>
      </c>
      <c r="F69" s="11">
        <f>_xlfn.XLOOKUP($D69,'AR Historical Financials'!$C$8:$C$93,'AR Historical Financials'!E$8:E$93)</f>
        <v>6661</v>
      </c>
      <c r="G69" s="11">
        <f>_xlfn.XLOOKUP($D69,'AR Historical Financials'!$C$8:$C$93,'AR Historical Financials'!F$8:F$93)</f>
        <v>6442</v>
      </c>
      <c r="H69" s="11">
        <f>_xlfn.XLOOKUP($D69,'AR Historical Financials'!$C$8:$C$93,'AR Historical Financials'!G$8:G$93)</f>
        <v>6360</v>
      </c>
      <c r="I69" s="11">
        <f>_xlfn.XLOOKUP($D69,'AR Historical Financials'!$C$8:$C$93,'AR Historical Financials'!H$8:H$93)</f>
        <v>6478</v>
      </c>
      <c r="J69" s="11">
        <f>_xlfn.XLOOKUP($D69,'AR Historical Financials'!$C$8:$C$93,'AR Historical Financials'!I$8:I$93)</f>
        <v>6707</v>
      </c>
      <c r="K69" s="11">
        <f>_xlfn.XLOOKUP($D69,'AR Historical Financials'!$C$8:$C$93,'AR Historical Financials'!J$8:J$93)</f>
        <v>6873</v>
      </c>
      <c r="L69" s="11">
        <f>_xlfn.XLOOKUP($D69,'AR Historical Financials'!$C$8:$C$93,'AR Historical Financials'!K$8:K$93)</f>
        <v>6850</v>
      </c>
      <c r="M69" s="11">
        <f>_xlfn.XLOOKUP($D69,'AR Historical Financials'!$C$8:$C$93,'AR Historical Financials'!L$8:L$93)</f>
        <v>6657</v>
      </c>
      <c r="N69" s="11">
        <f>_xlfn.XLOOKUP($D69,'AR Historical Financials'!$C$8:$C$93,'AR Historical Financials'!M$8:M$93)</f>
        <v>6439</v>
      </c>
      <c r="O69" s="11">
        <f>_xlfn.XLOOKUP($D69,'AR Historical Financials'!$C$8:$C$93,'AR Historical Financials'!N$8:N$93)</f>
        <v>6360</v>
      </c>
      <c r="P69" s="11">
        <f>_xlfn.XLOOKUP($D69,'AR Historical Financials'!$C$8:$C$93,'AR Historical Financials'!O$8:O$93)</f>
        <v>6482</v>
      </c>
      <c r="Q69" s="11">
        <f>_xlfn.XLOOKUP($D69,'AR Historical Financials'!$C$8:$C$93,'AR Historical Financials'!P$8:P$93)</f>
        <v>6711</v>
      </c>
      <c r="R69" s="11"/>
      <c r="S69" s="11">
        <f t="shared" si="17"/>
        <v>79020</v>
      </c>
      <c r="T69" s="11">
        <f t="shared" si="17"/>
        <v>78998</v>
      </c>
      <c r="U69" s="11">
        <f t="shared" si="17"/>
        <v>78212</v>
      </c>
    </row>
    <row r="70" spans="2:21" x14ac:dyDescent="0.25"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2:21" x14ac:dyDescent="0.25">
      <c r="B71" s="27" t="str">
        <f>_xlfn.LET(_xlpm.r,_xlfn.XLOOKUP(D71,'AR PnL Mapping'!$C$3:$C$60,'AR PnL Mapping'!$B$3:$B$60,""),IF(OR(_xlpm.r="",_xlpm.r=0),"",_xlpm.r))</f>
        <v/>
      </c>
      <c r="D71" s="12" t="s">
        <v>61</v>
      </c>
      <c r="E71" s="12"/>
      <c r="F71" s="13">
        <f>_xlfn.XLOOKUP($D71,'AR Historical Financials'!$C$8:$C$93,'AR Historical Financials'!E$8:E$93)</f>
        <v>15573</v>
      </c>
      <c r="G71" s="13">
        <f>_xlfn.XLOOKUP($D71,'AR Historical Financials'!$C$8:$C$93,'AR Historical Financials'!F$8:F$93)</f>
        <v>15438</v>
      </c>
      <c r="H71" s="13">
        <f>_xlfn.XLOOKUP($D71,'AR Historical Financials'!$C$8:$C$93,'AR Historical Financials'!G$8:G$93)</f>
        <v>15462</v>
      </c>
      <c r="I71" s="13">
        <f>_xlfn.XLOOKUP($D71,'AR Historical Financials'!$C$8:$C$93,'AR Historical Financials'!H$8:H$93)</f>
        <v>15592</v>
      </c>
      <c r="J71" s="13">
        <f>_xlfn.XLOOKUP($D71,'AR Historical Financials'!$C$8:$C$93,'AR Historical Financials'!I$8:I$93)</f>
        <v>15726</v>
      </c>
      <c r="K71" s="13">
        <f>_xlfn.XLOOKUP($D71,'AR Historical Financials'!$C$8:$C$93,'AR Historical Financials'!J$8:J$93)</f>
        <v>15794</v>
      </c>
      <c r="L71" s="13">
        <f>_xlfn.XLOOKUP($D71,'AR Historical Financials'!$C$8:$C$93,'AR Historical Financials'!K$8:K$93)</f>
        <v>15777</v>
      </c>
      <c r="M71" s="13">
        <f>_xlfn.XLOOKUP($D71,'AR Historical Financials'!$C$8:$C$93,'AR Historical Financials'!L$8:L$93)</f>
        <v>15687</v>
      </c>
      <c r="N71" s="13">
        <f>_xlfn.XLOOKUP($D71,'AR Historical Financials'!$C$8:$C$93,'AR Historical Financials'!M$8:M$93)</f>
        <v>15557</v>
      </c>
      <c r="O71" s="13">
        <f>_xlfn.XLOOKUP($D71,'AR Historical Financials'!$C$8:$C$93,'AR Historical Financials'!N$8:N$93)</f>
        <v>15454</v>
      </c>
      <c r="P71" s="13">
        <f>_xlfn.XLOOKUP($D71,'AR Historical Financials'!$C$8:$C$93,'AR Historical Financials'!O$8:O$93)</f>
        <v>15467</v>
      </c>
      <c r="Q71" s="13">
        <f>_xlfn.XLOOKUP($D71,'AR Historical Financials'!$C$8:$C$93,'AR Historical Financials'!P$8:P$93)</f>
        <v>15621</v>
      </c>
      <c r="R71" s="11"/>
      <c r="S71" s="13">
        <f>IFERROR(SUMIFS($E71:$Q71,$E$5:$Q$5,"&gt;="&amp;S$4,$E$5:$Q$5,"&lt;="&amp;S$5),0)*S$2</f>
        <v>187148</v>
      </c>
      <c r="T71" s="13">
        <f>IFERROR(SUMIFS($E71:$Q71,$E$5:$Q$5,"&gt;="&amp;T$4,$E$5:$Q$5,"&lt;="&amp;T$5),0)*T$2</f>
        <v>187126</v>
      </c>
      <c r="U71" s="13">
        <f>IFERROR(SUMIFS($E71:$Q71,$E$5:$Q$5,"&gt;="&amp;U$4,$E$5:$Q$5,"&lt;="&amp;U$5),0)*U$2</f>
        <v>186168</v>
      </c>
    </row>
    <row r="72" spans="2:21" x14ac:dyDescent="0.25"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2:21" x14ac:dyDescent="0.25">
      <c r="B73" s="27" t="str">
        <f>_xlfn.LET(_xlpm.r,_xlfn.XLOOKUP(D73,'AR PnL Mapping'!$C$3:$C$60,'AR PnL Mapping'!$B$3:$B$60,""),IF(OR(_xlpm.r="",_xlpm.r=0),"",_xlpm.r))</f>
        <v>Utilities</v>
      </c>
      <c r="D73" t="s">
        <v>109</v>
      </c>
      <c r="F73" s="11">
        <f>_xlfn.XLOOKUP($D73,'AR Historical Financials'!$C$8:$C$93,'AR Historical Financials'!E$8:E$93)</f>
        <v>11592</v>
      </c>
      <c r="G73" s="11">
        <f>_xlfn.XLOOKUP($D73,'AR Historical Financials'!$C$8:$C$93,'AR Historical Financials'!F$8:F$93)</f>
        <v>12075</v>
      </c>
      <c r="H73" s="11">
        <f>_xlfn.XLOOKUP($D73,'AR Historical Financials'!$C$8:$C$93,'AR Historical Financials'!G$8:G$93)</f>
        <v>10143</v>
      </c>
      <c r="I73" s="11">
        <f>_xlfn.XLOOKUP($D73,'AR Historical Financials'!$C$8:$C$93,'AR Historical Financials'!H$8:H$93)</f>
        <v>8694</v>
      </c>
      <c r="J73" s="11">
        <f>_xlfn.XLOOKUP($D73,'AR Historical Financials'!$C$8:$C$93,'AR Historical Financials'!I$8:I$93)</f>
        <v>8694</v>
      </c>
      <c r="K73" s="11">
        <f>_xlfn.XLOOKUP($D73,'AR Historical Financials'!$C$8:$C$93,'AR Historical Financials'!J$8:J$93)</f>
        <v>10143</v>
      </c>
      <c r="L73" s="11">
        <f>_xlfn.XLOOKUP($D73,'AR Historical Financials'!$C$8:$C$93,'AR Historical Financials'!K$8:K$93)</f>
        <v>11109</v>
      </c>
      <c r="M73" s="11">
        <f>_xlfn.XLOOKUP($D73,'AR Historical Financials'!$C$8:$C$93,'AR Historical Financials'!L$8:L$93)</f>
        <v>10626</v>
      </c>
      <c r="N73" s="11">
        <f>_xlfn.XLOOKUP($D73,'AR Historical Financials'!$C$8:$C$93,'AR Historical Financials'!M$8:M$93)</f>
        <v>9177</v>
      </c>
      <c r="O73" s="11">
        <f>_xlfn.XLOOKUP($D73,'AR Historical Financials'!$C$8:$C$93,'AR Historical Financials'!N$8:N$93)</f>
        <v>8211</v>
      </c>
      <c r="P73" s="11">
        <f>_xlfn.XLOOKUP($D73,'AR Historical Financials'!$C$8:$C$93,'AR Historical Financials'!O$8:O$93)</f>
        <v>8694</v>
      </c>
      <c r="Q73" s="11">
        <f>_xlfn.XLOOKUP($D73,'AR Historical Financials'!$C$8:$C$93,'AR Historical Financials'!P$8:P$93)</f>
        <v>10626</v>
      </c>
      <c r="R73" s="11"/>
      <c r="S73" s="11">
        <f t="shared" ref="S73:U76" si="18">IFERROR(SUMIFS($E73:$Q73,$E$5:$Q$5,"&gt;="&amp;S$4,$E$5:$Q$5,"&lt;="&amp;S$5),0)*S$2</f>
        <v>119784</v>
      </c>
      <c r="T73" s="11">
        <f t="shared" si="18"/>
        <v>116886</v>
      </c>
      <c r="U73" s="11">
        <f t="shared" si="18"/>
        <v>110124</v>
      </c>
    </row>
    <row r="74" spans="2:21" x14ac:dyDescent="0.25">
      <c r="B74" s="27" t="str">
        <f>_xlfn.LET(_xlpm.r,_xlfn.XLOOKUP(D74,'AR PnL Mapping'!$C$3:$C$60,'AR PnL Mapping'!$B$3:$B$60,""),IF(OR(_xlpm.r="",_xlpm.r=0),"",_xlpm.r))</f>
        <v>Utilities</v>
      </c>
      <c r="D74" t="s">
        <v>110</v>
      </c>
      <c r="F74" s="11">
        <f>_xlfn.XLOOKUP($D74,'AR Historical Financials'!$C$8:$C$93,'AR Historical Financials'!E$8:E$93)</f>
        <v>1573</v>
      </c>
      <c r="G74" s="11">
        <f>_xlfn.XLOOKUP($D74,'AR Historical Financials'!$C$8:$C$93,'AR Historical Financials'!F$8:F$93)</f>
        <v>1573</v>
      </c>
      <c r="H74" s="11">
        <f>_xlfn.XLOOKUP($D74,'AR Historical Financials'!$C$8:$C$93,'AR Historical Financials'!G$8:G$93)</f>
        <v>1923</v>
      </c>
      <c r="I74" s="11">
        <f>_xlfn.XLOOKUP($D74,'AR Historical Financials'!$C$8:$C$93,'AR Historical Financials'!H$8:H$93)</f>
        <v>2972</v>
      </c>
      <c r="J74" s="11">
        <f>_xlfn.XLOOKUP($D74,'AR Historical Financials'!$C$8:$C$93,'AR Historical Financials'!I$8:I$93)</f>
        <v>4370</v>
      </c>
      <c r="K74" s="11">
        <f>_xlfn.XLOOKUP($D74,'AR Historical Financials'!$C$8:$C$93,'AR Historical Financials'!J$8:J$93)</f>
        <v>5419</v>
      </c>
      <c r="L74" s="11">
        <f>_xlfn.XLOOKUP($D74,'AR Historical Financials'!$C$8:$C$93,'AR Historical Financials'!K$8:K$93)</f>
        <v>5594</v>
      </c>
      <c r="M74" s="11">
        <f>_xlfn.XLOOKUP($D74,'AR Historical Financials'!$C$8:$C$93,'AR Historical Financials'!L$8:L$93)</f>
        <v>5244</v>
      </c>
      <c r="N74" s="11">
        <f>_xlfn.XLOOKUP($D74,'AR Historical Financials'!$C$8:$C$93,'AR Historical Financials'!M$8:M$93)</f>
        <v>4195</v>
      </c>
      <c r="O74" s="11">
        <f>_xlfn.XLOOKUP($D74,'AR Historical Financials'!$C$8:$C$93,'AR Historical Financials'!N$8:N$93)</f>
        <v>2972</v>
      </c>
      <c r="P74" s="11">
        <f>_xlfn.XLOOKUP($D74,'AR Historical Financials'!$C$8:$C$93,'AR Historical Financials'!O$8:O$93)</f>
        <v>2098</v>
      </c>
      <c r="Q74" s="11">
        <f>_xlfn.XLOOKUP($D74,'AR Historical Financials'!$C$8:$C$93,'AR Historical Financials'!P$8:P$93)</f>
        <v>1748</v>
      </c>
      <c r="R74" s="11"/>
      <c r="S74" s="11">
        <f t="shared" si="18"/>
        <v>39681</v>
      </c>
      <c r="T74" s="11">
        <f t="shared" si="18"/>
        <v>43702</v>
      </c>
      <c r="U74" s="11">
        <f t="shared" si="18"/>
        <v>27272</v>
      </c>
    </row>
    <row r="75" spans="2:21" x14ac:dyDescent="0.25">
      <c r="B75" s="27" t="str">
        <f>_xlfn.LET(_xlpm.r,_xlfn.XLOOKUP(D75,'AR PnL Mapping'!$C$3:$C$60,'AR PnL Mapping'!$B$3:$B$60,""),IF(OR(_xlpm.r="",_xlpm.r=0),"",_xlpm.r))</f>
        <v>Utilities</v>
      </c>
      <c r="D75" t="s">
        <v>111</v>
      </c>
      <c r="F75" s="11">
        <f>_xlfn.XLOOKUP($D75,'AR Historical Financials'!$C$8:$C$93,'AR Historical Financials'!E$8:E$93)</f>
        <v>4126</v>
      </c>
      <c r="G75" s="11">
        <f>_xlfn.XLOOKUP($D75,'AR Historical Financials'!$C$8:$C$93,'AR Historical Financials'!F$8:F$93)</f>
        <v>4126</v>
      </c>
      <c r="H75" s="11">
        <f>_xlfn.XLOOKUP($D75,'AR Historical Financials'!$C$8:$C$93,'AR Historical Financials'!G$8:G$93)</f>
        <v>3767</v>
      </c>
      <c r="I75" s="11">
        <f>_xlfn.XLOOKUP($D75,'AR Historical Financials'!$C$8:$C$93,'AR Historical Financials'!H$8:H$93)</f>
        <v>3588</v>
      </c>
      <c r="J75" s="11">
        <f>_xlfn.XLOOKUP($D75,'AR Historical Financials'!$C$8:$C$93,'AR Historical Financials'!I$8:I$93)</f>
        <v>3409</v>
      </c>
      <c r="K75" s="11">
        <f>_xlfn.XLOOKUP($D75,'AR Historical Financials'!$C$8:$C$93,'AR Historical Financials'!J$8:J$93)</f>
        <v>3409</v>
      </c>
      <c r="L75" s="11">
        <f>_xlfn.XLOOKUP($D75,'AR Historical Financials'!$C$8:$C$93,'AR Historical Financials'!K$8:K$93)</f>
        <v>3409</v>
      </c>
      <c r="M75" s="11">
        <f>_xlfn.XLOOKUP($D75,'AR Historical Financials'!$C$8:$C$93,'AR Historical Financials'!L$8:L$93)</f>
        <v>3409</v>
      </c>
      <c r="N75" s="11">
        <f>_xlfn.XLOOKUP($D75,'AR Historical Financials'!$C$8:$C$93,'AR Historical Financials'!M$8:M$93)</f>
        <v>3588</v>
      </c>
      <c r="O75" s="11">
        <f>_xlfn.XLOOKUP($D75,'AR Historical Financials'!$C$8:$C$93,'AR Historical Financials'!N$8:N$93)</f>
        <v>3588</v>
      </c>
      <c r="P75" s="11">
        <f>_xlfn.XLOOKUP($D75,'AR Historical Financials'!$C$8:$C$93,'AR Historical Financials'!O$8:O$93)</f>
        <v>3767</v>
      </c>
      <c r="Q75" s="11">
        <f>_xlfn.XLOOKUP($D75,'AR Historical Financials'!$C$8:$C$93,'AR Historical Financials'!P$8:P$93)</f>
        <v>4126</v>
      </c>
      <c r="R75" s="11"/>
      <c r="S75" s="11">
        <f t="shared" si="18"/>
        <v>44312</v>
      </c>
      <c r="T75" s="11">
        <f t="shared" si="18"/>
        <v>43774</v>
      </c>
      <c r="U75" s="11">
        <f t="shared" si="18"/>
        <v>45924</v>
      </c>
    </row>
    <row r="76" spans="2:21" x14ac:dyDescent="0.25">
      <c r="B76" s="27" t="str">
        <f>_xlfn.LET(_xlpm.r,_xlfn.XLOOKUP(D76,'AR PnL Mapping'!$C$3:$C$60,'AR PnL Mapping'!$B$3:$B$60,""),IF(OR(_xlpm.r="",_xlpm.r=0),"",_xlpm.r))</f>
        <v>Utilities</v>
      </c>
      <c r="D76" t="s">
        <v>112</v>
      </c>
      <c r="F76" s="11">
        <f>_xlfn.XLOOKUP($D76,'AR Historical Financials'!$C$8:$C$93,'AR Historical Financials'!E$8:E$93)</f>
        <v>1564</v>
      </c>
      <c r="G76" s="11">
        <f>_xlfn.XLOOKUP($D76,'AR Historical Financials'!$C$8:$C$93,'AR Historical Financials'!F$8:F$93)</f>
        <v>1564</v>
      </c>
      <c r="H76" s="11">
        <f>_xlfn.XLOOKUP($D76,'AR Historical Financials'!$C$8:$C$93,'AR Historical Financials'!G$8:G$93)</f>
        <v>1564</v>
      </c>
      <c r="I76" s="11">
        <f>_xlfn.XLOOKUP($D76,'AR Historical Financials'!$C$8:$C$93,'AR Historical Financials'!H$8:H$93)</f>
        <v>1564</v>
      </c>
      <c r="J76" s="11">
        <f>_xlfn.XLOOKUP($D76,'AR Historical Financials'!$C$8:$C$93,'AR Historical Financials'!I$8:I$93)</f>
        <v>1564</v>
      </c>
      <c r="K76" s="11">
        <f>_xlfn.XLOOKUP($D76,'AR Historical Financials'!$C$8:$C$93,'AR Historical Financials'!J$8:J$93)</f>
        <v>1564</v>
      </c>
      <c r="L76" s="11">
        <f>_xlfn.XLOOKUP($D76,'AR Historical Financials'!$C$8:$C$93,'AR Historical Financials'!K$8:K$93)</f>
        <v>1564</v>
      </c>
      <c r="M76" s="11">
        <f>_xlfn.XLOOKUP($D76,'AR Historical Financials'!$C$8:$C$93,'AR Historical Financials'!L$8:L$93)</f>
        <v>1564</v>
      </c>
      <c r="N76" s="11">
        <f>_xlfn.XLOOKUP($D76,'AR Historical Financials'!$C$8:$C$93,'AR Historical Financials'!M$8:M$93)</f>
        <v>1564</v>
      </c>
      <c r="O76" s="11">
        <f>_xlfn.XLOOKUP($D76,'AR Historical Financials'!$C$8:$C$93,'AR Historical Financials'!N$8:N$93)</f>
        <v>1564</v>
      </c>
      <c r="P76" s="11">
        <f>_xlfn.XLOOKUP($D76,'AR Historical Financials'!$C$8:$C$93,'AR Historical Financials'!O$8:O$93)</f>
        <v>1564</v>
      </c>
      <c r="Q76" s="11">
        <f>_xlfn.XLOOKUP($D76,'AR Historical Financials'!$C$8:$C$93,'AR Historical Financials'!P$8:P$93)</f>
        <v>1564</v>
      </c>
      <c r="R76" s="11"/>
      <c r="S76" s="11">
        <f t="shared" si="18"/>
        <v>18768</v>
      </c>
      <c r="T76" s="11">
        <f t="shared" si="18"/>
        <v>18768</v>
      </c>
      <c r="U76" s="11">
        <f t="shared" si="18"/>
        <v>18768</v>
      </c>
    </row>
    <row r="77" spans="2:21" x14ac:dyDescent="0.25"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2:21" x14ac:dyDescent="0.25">
      <c r="B78" s="27" t="str">
        <f>_xlfn.LET(_xlpm.r,_xlfn.XLOOKUP(D78,'AR PnL Mapping'!$C$3:$C$60,'AR PnL Mapping'!$B$3:$B$60,""),IF(OR(_xlpm.r="",_xlpm.r=0),"",_xlpm.r))</f>
        <v/>
      </c>
      <c r="D78" s="12" t="s">
        <v>62</v>
      </c>
      <c r="E78" s="12"/>
      <c r="F78" s="13">
        <f>_xlfn.XLOOKUP($D78,'AR Historical Financials'!$C$8:$C$93,'AR Historical Financials'!E$8:E$93)</f>
        <v>18855</v>
      </c>
      <c r="G78" s="13">
        <f>_xlfn.XLOOKUP($D78,'AR Historical Financials'!$C$8:$C$93,'AR Historical Financials'!F$8:F$93)</f>
        <v>19338</v>
      </c>
      <c r="H78" s="13">
        <f>_xlfn.XLOOKUP($D78,'AR Historical Financials'!$C$8:$C$93,'AR Historical Financials'!G$8:G$93)</f>
        <v>17397</v>
      </c>
      <c r="I78" s="13">
        <f>_xlfn.XLOOKUP($D78,'AR Historical Financials'!$C$8:$C$93,'AR Historical Financials'!H$8:H$93)</f>
        <v>16818</v>
      </c>
      <c r="J78" s="13">
        <f>_xlfn.XLOOKUP($D78,'AR Historical Financials'!$C$8:$C$93,'AR Historical Financials'!I$8:I$93)</f>
        <v>18037</v>
      </c>
      <c r="K78" s="13">
        <f>_xlfn.XLOOKUP($D78,'AR Historical Financials'!$C$8:$C$93,'AR Historical Financials'!J$8:J$93)</f>
        <v>20535</v>
      </c>
      <c r="L78" s="13">
        <f>_xlfn.XLOOKUP($D78,'AR Historical Financials'!$C$8:$C$93,'AR Historical Financials'!K$8:K$93)</f>
        <v>21676</v>
      </c>
      <c r="M78" s="13">
        <f>_xlfn.XLOOKUP($D78,'AR Historical Financials'!$C$8:$C$93,'AR Historical Financials'!L$8:L$93)</f>
        <v>20843</v>
      </c>
      <c r="N78" s="13">
        <f>_xlfn.XLOOKUP($D78,'AR Historical Financials'!$C$8:$C$93,'AR Historical Financials'!M$8:M$93)</f>
        <v>18524</v>
      </c>
      <c r="O78" s="13">
        <f>_xlfn.XLOOKUP($D78,'AR Historical Financials'!$C$8:$C$93,'AR Historical Financials'!N$8:N$93)</f>
        <v>16335</v>
      </c>
      <c r="P78" s="13">
        <f>_xlfn.XLOOKUP($D78,'AR Historical Financials'!$C$8:$C$93,'AR Historical Financials'!O$8:O$93)</f>
        <v>16123</v>
      </c>
      <c r="Q78" s="13">
        <f>_xlfn.XLOOKUP($D78,'AR Historical Financials'!$C$8:$C$93,'AR Historical Financials'!P$8:P$93)</f>
        <v>18064</v>
      </c>
      <c r="R78" s="11"/>
      <c r="S78" s="13">
        <f>IFERROR(SUMIFS($E78:$Q78,$E$5:$Q$5,"&gt;="&amp;S$4,$E$5:$Q$5,"&lt;="&amp;S$5),0)*S$2</f>
        <v>222545</v>
      </c>
      <c r="T78" s="13">
        <f>IFERROR(SUMIFS($E78:$Q78,$E$5:$Q$5,"&gt;="&amp;T$4,$E$5:$Q$5,"&lt;="&amp;T$5),0)*T$2</f>
        <v>223130</v>
      </c>
      <c r="U78" s="13">
        <f>IFERROR(SUMIFS($E78:$Q78,$E$5:$Q$5,"&gt;="&amp;U$4,$E$5:$Q$5,"&lt;="&amp;U$5),0)*U$2</f>
        <v>202088</v>
      </c>
    </row>
    <row r="79" spans="2:21" x14ac:dyDescent="0.25"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2:21" x14ac:dyDescent="0.25">
      <c r="B80" s="27" t="str">
        <f>_xlfn.LET(_xlpm.r,_xlfn.XLOOKUP(D80,'AR PnL Mapping'!$C$3:$C$60,'AR PnL Mapping'!$B$3:$B$60,""),IF(OR(_xlpm.r="",_xlpm.r=0),"",_xlpm.r))</f>
        <v>Wages - Housekeeping</v>
      </c>
      <c r="D80" t="s">
        <v>114</v>
      </c>
      <c r="F80" s="11">
        <f>_xlfn.XLOOKUP($D80,'AR Historical Financials'!$C$8:$C$93,'AR Historical Financials'!E$8:E$93)</f>
        <v>12278</v>
      </c>
      <c r="G80" s="11">
        <f>_xlfn.XLOOKUP($D80,'AR Historical Financials'!$C$8:$C$93,'AR Historical Financials'!F$8:F$93)</f>
        <v>12315</v>
      </c>
      <c r="H80" s="11">
        <f>_xlfn.XLOOKUP($D80,'AR Historical Financials'!$C$8:$C$93,'AR Historical Financials'!G$8:G$93)</f>
        <v>12466</v>
      </c>
      <c r="I80" s="11">
        <f>_xlfn.XLOOKUP($D80,'AR Historical Financials'!$C$8:$C$93,'AR Historical Financials'!H$8:H$93)</f>
        <v>12567</v>
      </c>
      <c r="J80" s="11">
        <f>_xlfn.XLOOKUP($D80,'AR Historical Financials'!$C$8:$C$93,'AR Historical Financials'!I$8:I$93)</f>
        <v>12507</v>
      </c>
      <c r="K80" s="11">
        <f>_xlfn.XLOOKUP($D80,'AR Historical Financials'!$C$8:$C$93,'AR Historical Financials'!J$8:J$93)</f>
        <v>12352</v>
      </c>
      <c r="L80" s="11">
        <f>_xlfn.XLOOKUP($D80,'AR Historical Financials'!$C$8:$C$93,'AR Historical Financials'!K$8:K$93)</f>
        <v>12271</v>
      </c>
      <c r="M80" s="11">
        <f>_xlfn.XLOOKUP($D80,'AR Historical Financials'!$C$8:$C$93,'AR Historical Financials'!L$8:L$93)</f>
        <v>12353</v>
      </c>
      <c r="N80" s="11">
        <f>_xlfn.XLOOKUP($D80,'AR Historical Financials'!$C$8:$C$93,'AR Historical Financials'!M$8:M$93)</f>
        <v>12508</v>
      </c>
      <c r="O80" s="11">
        <f>_xlfn.XLOOKUP($D80,'AR Historical Financials'!$C$8:$C$93,'AR Historical Financials'!N$8:N$93)</f>
        <v>12567</v>
      </c>
      <c r="P80" s="11">
        <f>_xlfn.XLOOKUP($D80,'AR Historical Financials'!$C$8:$C$93,'AR Historical Financials'!O$8:O$93)</f>
        <v>12465</v>
      </c>
      <c r="Q80" s="11">
        <f>_xlfn.XLOOKUP($D80,'AR Historical Financials'!$C$8:$C$93,'AR Historical Financials'!P$8:P$93)</f>
        <v>12314</v>
      </c>
      <c r="R80" s="11"/>
      <c r="S80" s="11">
        <f t="shared" ref="S80:U81" si="19">IFERROR(SUMIFS($E80:$Q80,$E$5:$Q$5,"&gt;="&amp;S$4,$E$5:$Q$5,"&lt;="&amp;S$5),0)*S$2</f>
        <v>148963</v>
      </c>
      <c r="T80" s="11">
        <f t="shared" si="19"/>
        <v>148956</v>
      </c>
      <c r="U80" s="11">
        <f t="shared" si="19"/>
        <v>149384</v>
      </c>
    </row>
    <row r="81" spans="2:21" x14ac:dyDescent="0.25">
      <c r="B81" s="27" t="str">
        <f>_xlfn.LET(_xlpm.r,_xlfn.XLOOKUP(D81,'AR PnL Mapping'!$C$3:$C$60,'AR PnL Mapping'!$B$3:$B$60,""),IF(OR(_xlpm.r="",_xlpm.r=0),"",_xlpm.r))</f>
        <v>Housekeeping</v>
      </c>
      <c r="D81" t="s">
        <v>116</v>
      </c>
      <c r="F81" s="11">
        <f>_xlfn.XLOOKUP($D81,'AR Historical Financials'!$C$8:$C$93,'AR Historical Financials'!E$8:E$93)</f>
        <v>2620</v>
      </c>
      <c r="G81" s="11">
        <f>_xlfn.XLOOKUP($D81,'AR Historical Financials'!$C$8:$C$93,'AR Historical Financials'!F$8:F$93)</f>
        <v>2568</v>
      </c>
      <c r="H81" s="11">
        <f>_xlfn.XLOOKUP($D81,'AR Historical Financials'!$C$8:$C$93,'AR Historical Financials'!G$8:G$93)</f>
        <v>2526</v>
      </c>
      <c r="I81" s="11">
        <f>_xlfn.XLOOKUP($D81,'AR Historical Financials'!$C$8:$C$93,'AR Historical Financials'!H$8:H$93)</f>
        <v>2548</v>
      </c>
      <c r="J81" s="11">
        <f>_xlfn.XLOOKUP($D81,'AR Historical Financials'!$C$8:$C$93,'AR Historical Financials'!I$8:I$93)</f>
        <v>2606</v>
      </c>
      <c r="K81" s="11">
        <f>_xlfn.XLOOKUP($D81,'AR Historical Financials'!$C$8:$C$93,'AR Historical Financials'!J$8:J$93)</f>
        <v>2626</v>
      </c>
      <c r="L81" s="11">
        <f>_xlfn.XLOOKUP($D81,'AR Historical Financials'!$C$8:$C$93,'AR Historical Financials'!K$8:K$93)</f>
        <v>2582</v>
      </c>
      <c r="M81" s="11">
        <f>_xlfn.XLOOKUP($D81,'AR Historical Financials'!$C$8:$C$93,'AR Historical Financials'!L$8:L$93)</f>
        <v>2531</v>
      </c>
      <c r="N81" s="11">
        <f>_xlfn.XLOOKUP($D81,'AR Historical Financials'!$C$8:$C$93,'AR Historical Financials'!M$8:M$93)</f>
        <v>2537</v>
      </c>
      <c r="O81" s="11">
        <f>_xlfn.XLOOKUP($D81,'AR Historical Financials'!$C$8:$C$93,'AR Historical Financials'!N$8:N$93)</f>
        <v>2593</v>
      </c>
      <c r="P81" s="11">
        <f>_xlfn.XLOOKUP($D81,'AR Historical Financials'!$C$8:$C$93,'AR Historical Financials'!O$8:O$93)</f>
        <v>2627</v>
      </c>
      <c r="Q81" s="11">
        <f>_xlfn.XLOOKUP($D81,'AR Historical Financials'!$C$8:$C$93,'AR Historical Financials'!P$8:P$93)</f>
        <v>2596</v>
      </c>
      <c r="R81" s="11"/>
      <c r="S81" s="11">
        <f t="shared" si="19"/>
        <v>30960</v>
      </c>
      <c r="T81" s="11">
        <f t="shared" si="19"/>
        <v>30932</v>
      </c>
      <c r="U81" s="11">
        <f t="shared" si="19"/>
        <v>31264</v>
      </c>
    </row>
    <row r="82" spans="2:21" x14ac:dyDescent="0.25"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2:21" x14ac:dyDescent="0.25">
      <c r="B83" s="27" t="str">
        <f>_xlfn.LET(_xlpm.r,_xlfn.XLOOKUP(D83,'AR PnL Mapping'!$C$3:$C$60,'AR PnL Mapping'!$B$3:$B$60,""),IF(OR(_xlpm.r="",_xlpm.r=0),"",_xlpm.r))</f>
        <v/>
      </c>
      <c r="D83" s="12" t="s">
        <v>63</v>
      </c>
      <c r="E83" s="12"/>
      <c r="F83" s="13">
        <f>_xlfn.XLOOKUP($D83,'AR Historical Financials'!$C$8:$C$93,'AR Historical Financials'!E$8:E$93)</f>
        <v>14898</v>
      </c>
      <c r="G83" s="13">
        <f>_xlfn.XLOOKUP($D83,'AR Historical Financials'!$C$8:$C$93,'AR Historical Financials'!F$8:F$93)</f>
        <v>14883</v>
      </c>
      <c r="H83" s="13">
        <f>_xlfn.XLOOKUP($D83,'AR Historical Financials'!$C$8:$C$93,'AR Historical Financials'!G$8:G$93)</f>
        <v>14992</v>
      </c>
      <c r="I83" s="13">
        <f>_xlfn.XLOOKUP($D83,'AR Historical Financials'!$C$8:$C$93,'AR Historical Financials'!H$8:H$93)</f>
        <v>15115</v>
      </c>
      <c r="J83" s="13">
        <f>_xlfn.XLOOKUP($D83,'AR Historical Financials'!$C$8:$C$93,'AR Historical Financials'!I$8:I$93)</f>
        <v>15113</v>
      </c>
      <c r="K83" s="13">
        <f>_xlfn.XLOOKUP($D83,'AR Historical Financials'!$C$8:$C$93,'AR Historical Financials'!J$8:J$93)</f>
        <v>14978</v>
      </c>
      <c r="L83" s="13">
        <f>_xlfn.XLOOKUP($D83,'AR Historical Financials'!$C$8:$C$93,'AR Historical Financials'!K$8:K$93)</f>
        <v>14853</v>
      </c>
      <c r="M83" s="13">
        <f>_xlfn.XLOOKUP($D83,'AR Historical Financials'!$C$8:$C$93,'AR Historical Financials'!L$8:L$93)</f>
        <v>14884</v>
      </c>
      <c r="N83" s="13">
        <f>_xlfn.XLOOKUP($D83,'AR Historical Financials'!$C$8:$C$93,'AR Historical Financials'!M$8:M$93)</f>
        <v>15045</v>
      </c>
      <c r="O83" s="13">
        <f>_xlfn.XLOOKUP($D83,'AR Historical Financials'!$C$8:$C$93,'AR Historical Financials'!N$8:N$93)</f>
        <v>15160</v>
      </c>
      <c r="P83" s="13">
        <f>_xlfn.XLOOKUP($D83,'AR Historical Financials'!$C$8:$C$93,'AR Historical Financials'!O$8:O$93)</f>
        <v>15092</v>
      </c>
      <c r="Q83" s="13">
        <f>_xlfn.XLOOKUP($D83,'AR Historical Financials'!$C$8:$C$93,'AR Historical Financials'!P$8:P$93)</f>
        <v>14910</v>
      </c>
      <c r="R83" s="11"/>
      <c r="S83" s="13">
        <f>IFERROR(SUMIFS($E83:$Q83,$E$5:$Q$5,"&gt;="&amp;S$4,$E$5:$Q$5,"&lt;="&amp;S$5),0)*S$2</f>
        <v>179923</v>
      </c>
      <c r="T83" s="13">
        <f>IFERROR(SUMIFS($E83:$Q83,$E$5:$Q$5,"&gt;="&amp;T$4,$E$5:$Q$5,"&lt;="&amp;T$5),0)*T$2</f>
        <v>179888</v>
      </c>
      <c r="U83" s="13">
        <f>IFERROR(SUMIFS($E83:$Q83,$E$5:$Q$5,"&gt;="&amp;U$4,$E$5:$Q$5,"&lt;="&amp;U$5),0)*U$2</f>
        <v>180648</v>
      </c>
    </row>
    <row r="84" spans="2:21" x14ac:dyDescent="0.25"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2:21" x14ac:dyDescent="0.25">
      <c r="B85" s="27" t="str">
        <f>_xlfn.LET(_xlpm.r,_xlfn.XLOOKUP(D85,'AR PnL Mapping'!$C$3:$C$60,'AR PnL Mapping'!$B$3:$B$60,""),IF(OR(_xlpm.r="",_xlpm.r=0),"",_xlpm.r))</f>
        <v>Wages - Marketing</v>
      </c>
      <c r="D85" t="s">
        <v>118</v>
      </c>
      <c r="F85" s="11">
        <f>_xlfn.XLOOKUP($D85,'AR Historical Financials'!$C$8:$C$93,'AR Historical Financials'!E$8:E$93)</f>
        <v>7075</v>
      </c>
      <c r="G85" s="11">
        <f>_xlfn.XLOOKUP($D85,'AR Historical Financials'!$C$8:$C$93,'AR Historical Financials'!F$8:F$93)</f>
        <v>7019</v>
      </c>
      <c r="H85" s="11">
        <f>_xlfn.XLOOKUP($D85,'AR Historical Financials'!$C$8:$C$93,'AR Historical Financials'!G$8:G$93)</f>
        <v>6933</v>
      </c>
      <c r="I85" s="11">
        <f>_xlfn.XLOOKUP($D85,'AR Historical Financials'!$C$8:$C$93,'AR Historical Financials'!H$8:H$93)</f>
        <v>6912</v>
      </c>
      <c r="J85" s="11">
        <f>_xlfn.XLOOKUP($D85,'AR Historical Financials'!$C$8:$C$93,'AR Historical Financials'!I$8:I$93)</f>
        <v>6978</v>
      </c>
      <c r="K85" s="11">
        <f>_xlfn.XLOOKUP($D85,'AR Historical Financials'!$C$8:$C$93,'AR Historical Financials'!J$8:J$93)</f>
        <v>7059</v>
      </c>
      <c r="L85" s="11">
        <f>_xlfn.XLOOKUP($D85,'AR Historical Financials'!$C$8:$C$93,'AR Historical Financials'!K$8:K$93)</f>
        <v>7067</v>
      </c>
      <c r="M85" s="11">
        <f>_xlfn.XLOOKUP($D85,'AR Historical Financials'!$C$8:$C$93,'AR Historical Financials'!L$8:L$93)</f>
        <v>6993</v>
      </c>
      <c r="N85" s="11">
        <f>_xlfn.XLOOKUP($D85,'AR Historical Financials'!$C$8:$C$93,'AR Historical Financials'!M$8:M$93)</f>
        <v>6918</v>
      </c>
      <c r="O85" s="11">
        <f>_xlfn.XLOOKUP($D85,'AR Historical Financials'!$C$8:$C$93,'AR Historical Financials'!N$8:N$93)</f>
        <v>6924</v>
      </c>
      <c r="P85" s="11">
        <f>_xlfn.XLOOKUP($D85,'AR Historical Financials'!$C$8:$C$93,'AR Historical Financials'!O$8:O$93)</f>
        <v>7005</v>
      </c>
      <c r="Q85" s="11">
        <f>_xlfn.XLOOKUP($D85,'AR Historical Financials'!$C$8:$C$93,'AR Historical Financials'!P$8:P$93)</f>
        <v>7072</v>
      </c>
      <c r="R85" s="11"/>
      <c r="S85" s="11">
        <f t="shared" ref="S85:U86" si="20">IFERROR(SUMIFS($E85:$Q85,$E$5:$Q$5,"&gt;="&amp;S$4,$E$5:$Q$5,"&lt;="&amp;S$5),0)*S$2</f>
        <v>83955</v>
      </c>
      <c r="T85" s="11">
        <f t="shared" si="20"/>
        <v>83958</v>
      </c>
      <c r="U85" s="11">
        <f t="shared" si="20"/>
        <v>84004</v>
      </c>
    </row>
    <row r="86" spans="2:21" x14ac:dyDescent="0.25">
      <c r="B86" s="27" t="str">
        <f>_xlfn.LET(_xlpm.r,_xlfn.XLOOKUP(D86,'AR PnL Mapping'!$C$3:$C$60,'AR PnL Mapping'!$B$3:$B$60,""),IF(OR(_xlpm.r="",_xlpm.r=0),"",_xlpm.r))</f>
        <v>Marketing</v>
      </c>
      <c r="D86" t="s">
        <v>120</v>
      </c>
      <c r="F86" s="11">
        <f>_xlfn.XLOOKUP($D86,'AR Historical Financials'!$C$8:$C$93,'AR Historical Financials'!E$8:E$93)</f>
        <v>5535</v>
      </c>
      <c r="G86" s="11">
        <f>_xlfn.XLOOKUP($D86,'AR Historical Financials'!$C$8:$C$93,'AR Historical Financials'!F$8:F$93)</f>
        <v>5400</v>
      </c>
      <c r="H86" s="11">
        <f>_xlfn.XLOOKUP($D86,'AR Historical Financials'!$C$8:$C$93,'AR Historical Financials'!G$8:G$93)</f>
        <v>5242</v>
      </c>
      <c r="I86" s="11">
        <f>_xlfn.XLOOKUP($D86,'AR Historical Financials'!$C$8:$C$93,'AR Historical Financials'!H$8:H$93)</f>
        <v>5118</v>
      </c>
      <c r="J86" s="11">
        <f>_xlfn.XLOOKUP($D86,'AR Historical Financials'!$C$8:$C$93,'AR Historical Financials'!I$8:I$93)</f>
        <v>5069</v>
      </c>
      <c r="K86" s="11">
        <f>_xlfn.XLOOKUP($D86,'AR Historical Financials'!$C$8:$C$93,'AR Historical Financials'!J$8:J$93)</f>
        <v>5114</v>
      </c>
      <c r="L86" s="11">
        <f>_xlfn.XLOOKUP($D86,'AR Historical Financials'!$C$8:$C$93,'AR Historical Financials'!K$8:K$93)</f>
        <v>5236</v>
      </c>
      <c r="M86" s="11">
        <f>_xlfn.XLOOKUP($D86,'AR Historical Financials'!$C$8:$C$93,'AR Historical Financials'!L$8:L$93)</f>
        <v>5393</v>
      </c>
      <c r="N86" s="11">
        <f>_xlfn.XLOOKUP($D86,'AR Historical Financials'!$C$8:$C$93,'AR Historical Financials'!M$8:M$93)</f>
        <v>5530</v>
      </c>
      <c r="O86" s="11">
        <f>_xlfn.XLOOKUP($D86,'AR Historical Financials'!$C$8:$C$93,'AR Historical Financials'!N$8:N$93)</f>
        <v>5600</v>
      </c>
      <c r="P86" s="11">
        <f>_xlfn.XLOOKUP($D86,'AR Historical Financials'!$C$8:$C$93,'AR Historical Financials'!O$8:O$93)</f>
        <v>5577</v>
      </c>
      <c r="Q86" s="11">
        <f>_xlfn.XLOOKUP($D86,'AR Historical Financials'!$C$8:$C$93,'AR Historical Financials'!P$8:P$93)</f>
        <v>5470</v>
      </c>
      <c r="R86" s="11"/>
      <c r="S86" s="11">
        <f t="shared" si="20"/>
        <v>64284</v>
      </c>
      <c r="T86" s="11">
        <f t="shared" si="20"/>
        <v>65612</v>
      </c>
      <c r="U86" s="11">
        <f t="shared" si="20"/>
        <v>66588</v>
      </c>
    </row>
    <row r="87" spans="2:21" x14ac:dyDescent="0.25"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2:21" x14ac:dyDescent="0.25">
      <c r="B88" s="27" t="str">
        <f>_xlfn.LET(_xlpm.r,_xlfn.XLOOKUP(D88,'AR PnL Mapping'!$C$3:$C$60,'AR PnL Mapping'!$B$3:$B$60,""),IF(OR(_xlpm.r="",_xlpm.r=0),"",_xlpm.r))</f>
        <v/>
      </c>
      <c r="D88" s="12" t="s">
        <v>64</v>
      </c>
      <c r="E88" s="12"/>
      <c r="F88" s="13">
        <f>_xlfn.XLOOKUP($D88,'AR Historical Financials'!$C$8:$C$93,'AR Historical Financials'!E$8:E$93)</f>
        <v>12610</v>
      </c>
      <c r="G88" s="13">
        <f>_xlfn.XLOOKUP($D88,'AR Historical Financials'!$C$8:$C$93,'AR Historical Financials'!F$8:F$93)</f>
        <v>12419</v>
      </c>
      <c r="H88" s="13">
        <f>_xlfn.XLOOKUP($D88,'AR Historical Financials'!$C$8:$C$93,'AR Historical Financials'!G$8:G$93)</f>
        <v>12175</v>
      </c>
      <c r="I88" s="13">
        <f>_xlfn.XLOOKUP($D88,'AR Historical Financials'!$C$8:$C$93,'AR Historical Financials'!H$8:H$93)</f>
        <v>12030</v>
      </c>
      <c r="J88" s="13">
        <f>_xlfn.XLOOKUP($D88,'AR Historical Financials'!$C$8:$C$93,'AR Historical Financials'!I$8:I$93)</f>
        <v>12047</v>
      </c>
      <c r="K88" s="13">
        <f>_xlfn.XLOOKUP($D88,'AR Historical Financials'!$C$8:$C$93,'AR Historical Financials'!J$8:J$93)</f>
        <v>12173</v>
      </c>
      <c r="L88" s="13">
        <f>_xlfn.XLOOKUP($D88,'AR Historical Financials'!$C$8:$C$93,'AR Historical Financials'!K$8:K$93)</f>
        <v>12303</v>
      </c>
      <c r="M88" s="13">
        <f>_xlfn.XLOOKUP($D88,'AR Historical Financials'!$C$8:$C$93,'AR Historical Financials'!L$8:L$93)</f>
        <v>12386</v>
      </c>
      <c r="N88" s="13">
        <f>_xlfn.XLOOKUP($D88,'AR Historical Financials'!$C$8:$C$93,'AR Historical Financials'!M$8:M$93)</f>
        <v>12448</v>
      </c>
      <c r="O88" s="13">
        <f>_xlfn.XLOOKUP($D88,'AR Historical Financials'!$C$8:$C$93,'AR Historical Financials'!N$8:N$93)</f>
        <v>12524</v>
      </c>
      <c r="P88" s="13">
        <f>_xlfn.XLOOKUP($D88,'AR Historical Financials'!$C$8:$C$93,'AR Historical Financials'!O$8:O$93)</f>
        <v>12582</v>
      </c>
      <c r="Q88" s="13">
        <f>_xlfn.XLOOKUP($D88,'AR Historical Financials'!$C$8:$C$93,'AR Historical Financials'!P$8:P$93)</f>
        <v>12542</v>
      </c>
      <c r="R88" s="11"/>
      <c r="S88" s="13">
        <f>IFERROR(SUMIFS($E88:$Q88,$E$5:$Q$5,"&gt;="&amp;S$4,$E$5:$Q$5,"&lt;="&amp;S$5),0)*S$2</f>
        <v>148239</v>
      </c>
      <c r="T88" s="13">
        <f>IFERROR(SUMIFS($E88:$Q88,$E$5:$Q$5,"&gt;="&amp;T$4,$E$5:$Q$5,"&lt;="&amp;T$5),0)*T$2</f>
        <v>149570</v>
      </c>
      <c r="U88" s="13">
        <f>IFERROR(SUMIFS($E88:$Q88,$E$5:$Q$5,"&gt;="&amp;U$4,$E$5:$Q$5,"&lt;="&amp;U$5),0)*U$2</f>
        <v>150592</v>
      </c>
    </row>
    <row r="89" spans="2:21" x14ac:dyDescent="0.25"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2:21" x14ac:dyDescent="0.25">
      <c r="B90" s="27" t="str">
        <f>_xlfn.LET(_xlpm.r,_xlfn.XLOOKUP(D90,'AR PnL Mapping'!$C$3:$C$60,'AR PnL Mapping'!$B$3:$B$60,""),IF(OR(_xlpm.r="",_xlpm.r=0),"",_xlpm.r))</f>
        <v>Wages - Admin</v>
      </c>
      <c r="D90" t="s">
        <v>122</v>
      </c>
      <c r="F90" s="11">
        <f>_xlfn.XLOOKUP($D90,'AR Historical Financials'!$C$8:$C$93,'AR Historical Financials'!E$8:E$93)</f>
        <v>7536</v>
      </c>
      <c r="G90" s="11">
        <f>_xlfn.XLOOKUP($D90,'AR Historical Financials'!$C$8:$C$93,'AR Historical Financials'!F$8:F$93)</f>
        <v>7621</v>
      </c>
      <c r="H90" s="11">
        <f>_xlfn.XLOOKUP($D90,'AR Historical Financials'!$C$8:$C$93,'AR Historical Financials'!G$8:G$93)</f>
        <v>7621</v>
      </c>
      <c r="I90" s="11">
        <f>_xlfn.XLOOKUP($D90,'AR Historical Financials'!$C$8:$C$93,'AR Historical Financials'!H$8:H$93)</f>
        <v>7537</v>
      </c>
      <c r="J90" s="11">
        <f>_xlfn.XLOOKUP($D90,'AR Historical Financials'!$C$8:$C$93,'AR Historical Financials'!I$8:I$93)</f>
        <v>7460</v>
      </c>
      <c r="K90" s="11">
        <f>_xlfn.XLOOKUP($D90,'AR Historical Financials'!$C$8:$C$93,'AR Historical Financials'!J$8:J$93)</f>
        <v>7475</v>
      </c>
      <c r="L90" s="11">
        <f>_xlfn.XLOOKUP($D90,'AR Historical Financials'!$C$8:$C$93,'AR Historical Financials'!K$8:K$93)</f>
        <v>7565</v>
      </c>
      <c r="M90" s="11">
        <f>_xlfn.XLOOKUP($D90,'AR Historical Financials'!$C$8:$C$93,'AR Historical Financials'!L$8:L$93)</f>
        <v>7632</v>
      </c>
      <c r="N90" s="11">
        <f>_xlfn.XLOOKUP($D90,'AR Historical Financials'!$C$8:$C$93,'AR Historical Financials'!M$8:M$93)</f>
        <v>7603</v>
      </c>
      <c r="O90" s="11">
        <f>_xlfn.XLOOKUP($D90,'AR Historical Financials'!$C$8:$C$93,'AR Historical Financials'!N$8:N$93)</f>
        <v>7509</v>
      </c>
      <c r="P90" s="11">
        <f>_xlfn.XLOOKUP($D90,'AR Historical Financials'!$C$8:$C$93,'AR Historical Financials'!O$8:O$93)</f>
        <v>7454</v>
      </c>
      <c r="Q90" s="11">
        <f>_xlfn.XLOOKUP($D90,'AR Historical Financials'!$C$8:$C$93,'AR Historical Financials'!P$8:P$93)</f>
        <v>7497</v>
      </c>
      <c r="R90" s="11"/>
      <c r="S90" s="11">
        <f t="shared" ref="S90:U94" si="21">IFERROR(SUMIFS($E90:$Q90,$E$5:$Q$5,"&gt;="&amp;S$4,$E$5:$Q$5,"&lt;="&amp;S$5),0)*S$2</f>
        <v>90510</v>
      </c>
      <c r="T90" s="11">
        <f t="shared" si="21"/>
        <v>90520</v>
      </c>
      <c r="U90" s="11">
        <f t="shared" si="21"/>
        <v>89840</v>
      </c>
    </row>
    <row r="91" spans="2:21" x14ac:dyDescent="0.25">
      <c r="B91" s="27" t="str">
        <f>_xlfn.LET(_xlpm.r,_xlfn.XLOOKUP(D91,'AR PnL Mapping'!$C$3:$C$60,'AR PnL Mapping'!$B$3:$B$60,""),IF(OR(_xlpm.r="",_xlpm.r=0),"",_xlpm.r))</f>
        <v>Wages - Admin</v>
      </c>
      <c r="D91" t="s">
        <v>123</v>
      </c>
      <c r="F91" s="11">
        <f>_xlfn.XLOOKUP($D91,'AR Historical Financials'!$C$8:$C$93,'AR Historical Financials'!E$8:E$93)</f>
        <v>5183</v>
      </c>
      <c r="G91" s="11">
        <f>_xlfn.XLOOKUP($D91,'AR Historical Financials'!$C$8:$C$93,'AR Historical Financials'!F$8:F$93)</f>
        <v>5214</v>
      </c>
      <c r="H91" s="11">
        <f>_xlfn.XLOOKUP($D91,'AR Historical Financials'!$C$8:$C$93,'AR Historical Financials'!G$8:G$93)</f>
        <v>5177</v>
      </c>
      <c r="I91" s="11">
        <f>_xlfn.XLOOKUP($D91,'AR Historical Financials'!$C$8:$C$93,'AR Historical Financials'!H$8:H$93)</f>
        <v>5113</v>
      </c>
      <c r="J91" s="11">
        <f>_xlfn.XLOOKUP($D91,'AR Historical Financials'!$C$8:$C$93,'AR Historical Financials'!I$8:I$93)</f>
        <v>5091</v>
      </c>
      <c r="K91" s="11">
        <f>_xlfn.XLOOKUP($D91,'AR Historical Financials'!$C$8:$C$93,'AR Historical Financials'!J$8:J$93)</f>
        <v>5136</v>
      </c>
      <c r="L91" s="11">
        <f>_xlfn.XLOOKUP($D91,'AR Historical Financials'!$C$8:$C$93,'AR Historical Financials'!K$8:K$93)</f>
        <v>5198</v>
      </c>
      <c r="M91" s="11">
        <f>_xlfn.XLOOKUP($D91,'AR Historical Financials'!$C$8:$C$93,'AR Historical Financials'!L$8:L$93)</f>
        <v>5210</v>
      </c>
      <c r="N91" s="11">
        <f>_xlfn.XLOOKUP($D91,'AR Historical Financials'!$C$8:$C$93,'AR Historical Financials'!M$8:M$93)</f>
        <v>5159</v>
      </c>
      <c r="O91" s="11">
        <f>_xlfn.XLOOKUP($D91,'AR Historical Financials'!$C$8:$C$93,'AR Historical Financials'!N$8:N$93)</f>
        <v>5100</v>
      </c>
      <c r="P91" s="11">
        <f>_xlfn.XLOOKUP($D91,'AR Historical Financials'!$C$8:$C$93,'AR Historical Financials'!O$8:O$93)</f>
        <v>5098</v>
      </c>
      <c r="Q91" s="11">
        <f>_xlfn.XLOOKUP($D91,'AR Historical Financials'!$C$8:$C$93,'AR Historical Financials'!P$8:P$93)</f>
        <v>5155</v>
      </c>
      <c r="R91" s="11"/>
      <c r="S91" s="11">
        <f t="shared" si="21"/>
        <v>61834</v>
      </c>
      <c r="T91" s="11">
        <f t="shared" si="21"/>
        <v>61840</v>
      </c>
      <c r="U91" s="11">
        <f t="shared" si="21"/>
        <v>61412</v>
      </c>
    </row>
    <row r="92" spans="2:21" x14ac:dyDescent="0.25">
      <c r="B92" s="27" t="str">
        <f>_xlfn.LET(_xlpm.r,_xlfn.XLOOKUP(D92,'AR PnL Mapping'!$C$3:$C$60,'AR PnL Mapping'!$B$3:$B$60,""),IF(OR(_xlpm.r="",_xlpm.r=0),"",_xlpm.r))</f>
        <v>Wages - Admin</v>
      </c>
      <c r="D92" t="s">
        <v>124</v>
      </c>
      <c r="F92" s="11">
        <f>_xlfn.XLOOKUP($D92,'AR Historical Financials'!$C$8:$C$93,'AR Historical Financials'!E$8:E$93)</f>
        <v>8555</v>
      </c>
      <c r="G92" s="11">
        <f>_xlfn.XLOOKUP($D92,'AR Historical Financials'!$C$8:$C$93,'AR Historical Financials'!F$8:F$93)</f>
        <v>8545</v>
      </c>
      <c r="H92" s="11">
        <f>_xlfn.XLOOKUP($D92,'AR Historical Financials'!$C$8:$C$93,'AR Historical Financials'!G$8:G$93)</f>
        <v>8446</v>
      </c>
      <c r="I92" s="11">
        <f>_xlfn.XLOOKUP($D92,'AR Historical Financials'!$C$8:$C$93,'AR Historical Financials'!H$8:H$93)</f>
        <v>8367</v>
      </c>
      <c r="J92" s="11">
        <f>_xlfn.XLOOKUP($D92,'AR Historical Financials'!$C$8:$C$93,'AR Historical Financials'!I$8:I$93)</f>
        <v>8394</v>
      </c>
      <c r="K92" s="11">
        <f>_xlfn.XLOOKUP($D92,'AR Historical Financials'!$C$8:$C$93,'AR Historical Financials'!J$8:J$93)</f>
        <v>8497</v>
      </c>
      <c r="L92" s="11">
        <f>_xlfn.XLOOKUP($D92,'AR Historical Financials'!$C$8:$C$93,'AR Historical Financials'!K$8:K$93)</f>
        <v>8565</v>
      </c>
      <c r="M92" s="11">
        <f>_xlfn.XLOOKUP($D92,'AR Historical Financials'!$C$8:$C$93,'AR Historical Financials'!L$8:L$93)</f>
        <v>8522</v>
      </c>
      <c r="N92" s="11">
        <f>_xlfn.XLOOKUP($D92,'AR Historical Financials'!$C$8:$C$93,'AR Historical Financials'!M$8:M$93)</f>
        <v>8416</v>
      </c>
      <c r="O92" s="11">
        <f>_xlfn.XLOOKUP($D92,'AR Historical Financials'!$C$8:$C$93,'AR Historical Financials'!N$8:N$93)</f>
        <v>8362</v>
      </c>
      <c r="P92" s="11">
        <f>_xlfn.XLOOKUP($D92,'AR Historical Financials'!$C$8:$C$93,'AR Historical Financials'!O$8:O$93)</f>
        <v>8420</v>
      </c>
      <c r="Q92" s="11">
        <f>_xlfn.XLOOKUP($D92,'AR Historical Financials'!$C$8:$C$93,'AR Historical Financials'!P$8:P$93)</f>
        <v>8526</v>
      </c>
      <c r="R92" s="11"/>
      <c r="S92" s="11">
        <f t="shared" si="21"/>
        <v>101615</v>
      </c>
      <c r="T92" s="11">
        <f t="shared" si="21"/>
        <v>101622</v>
      </c>
      <c r="U92" s="11">
        <f t="shared" si="21"/>
        <v>101232</v>
      </c>
    </row>
    <row r="93" spans="2:21" x14ac:dyDescent="0.25">
      <c r="B93" s="27" t="str">
        <f>_xlfn.LET(_xlpm.r,_xlfn.XLOOKUP(D93,'AR PnL Mapping'!$C$3:$C$60,'AR PnL Mapping'!$B$3:$B$60,""),IF(OR(_xlpm.r="",_xlpm.r=0),"",_xlpm.r))</f>
        <v>Admin - IT</v>
      </c>
      <c r="D93" t="s">
        <v>126</v>
      </c>
      <c r="F93" s="11">
        <f>_xlfn.XLOOKUP($D93,'AR Historical Financials'!$C$8:$C$93,'AR Historical Financials'!E$8:E$93)</f>
        <v>2760</v>
      </c>
      <c r="G93" s="11">
        <f>_xlfn.XLOOKUP($D93,'AR Historical Financials'!$C$8:$C$93,'AR Historical Financials'!F$8:F$93)</f>
        <v>2760</v>
      </c>
      <c r="H93" s="11">
        <f>_xlfn.XLOOKUP($D93,'AR Historical Financials'!$C$8:$C$93,'AR Historical Financials'!G$8:G$93)</f>
        <v>2760</v>
      </c>
      <c r="I93" s="11">
        <f>_xlfn.XLOOKUP($D93,'AR Historical Financials'!$C$8:$C$93,'AR Historical Financials'!H$8:H$93)</f>
        <v>2760</v>
      </c>
      <c r="J93" s="11">
        <f>_xlfn.XLOOKUP($D93,'AR Historical Financials'!$C$8:$C$93,'AR Historical Financials'!I$8:I$93)</f>
        <v>2760</v>
      </c>
      <c r="K93" s="11">
        <f>_xlfn.XLOOKUP($D93,'AR Historical Financials'!$C$8:$C$93,'AR Historical Financials'!J$8:J$93)</f>
        <v>2760</v>
      </c>
      <c r="L93" s="11">
        <f>_xlfn.XLOOKUP($D93,'AR Historical Financials'!$C$8:$C$93,'AR Historical Financials'!K$8:K$93)</f>
        <v>2760</v>
      </c>
      <c r="M93" s="11">
        <f>_xlfn.XLOOKUP($D93,'AR Historical Financials'!$C$8:$C$93,'AR Historical Financials'!L$8:L$93)</f>
        <v>2760</v>
      </c>
      <c r="N93" s="11">
        <f>_xlfn.XLOOKUP($D93,'AR Historical Financials'!$C$8:$C$93,'AR Historical Financials'!M$8:M$93)</f>
        <v>2760</v>
      </c>
      <c r="O93" s="11">
        <f>_xlfn.XLOOKUP($D93,'AR Historical Financials'!$C$8:$C$93,'AR Historical Financials'!N$8:N$93)</f>
        <v>2760</v>
      </c>
      <c r="P93" s="11">
        <f>_xlfn.XLOOKUP($D93,'AR Historical Financials'!$C$8:$C$93,'AR Historical Financials'!O$8:O$93)</f>
        <v>2760</v>
      </c>
      <c r="Q93" s="11">
        <f>_xlfn.XLOOKUP($D93,'AR Historical Financials'!$C$8:$C$93,'AR Historical Financials'!P$8:P$93)</f>
        <v>2760</v>
      </c>
      <c r="R93" s="11"/>
      <c r="S93" s="11">
        <f t="shared" si="21"/>
        <v>33120</v>
      </c>
      <c r="T93" s="11">
        <f t="shared" si="21"/>
        <v>33120</v>
      </c>
      <c r="U93" s="11">
        <f t="shared" si="21"/>
        <v>33120</v>
      </c>
    </row>
    <row r="94" spans="2:21" x14ac:dyDescent="0.25">
      <c r="B94" s="27" t="str">
        <f>_xlfn.LET(_xlpm.r,_xlfn.XLOOKUP(D94,'AR PnL Mapping'!$C$3:$C$60,'AR PnL Mapping'!$B$3:$B$60,""),IF(OR(_xlpm.r="",_xlpm.r=0),"",_xlpm.r))</f>
        <v>Admin</v>
      </c>
      <c r="D94" t="s">
        <v>129</v>
      </c>
      <c r="F94" s="11">
        <f>_xlfn.XLOOKUP($D94,'AR Historical Financials'!$C$8:$C$93,'AR Historical Financials'!E$8:E$93)</f>
        <v>4128</v>
      </c>
      <c r="G94" s="11">
        <f>_xlfn.XLOOKUP($D94,'AR Historical Financials'!$C$8:$C$93,'AR Historical Financials'!F$8:F$93)</f>
        <v>4162</v>
      </c>
      <c r="H94" s="11">
        <f>_xlfn.XLOOKUP($D94,'AR Historical Financials'!$C$8:$C$93,'AR Historical Financials'!G$8:G$93)</f>
        <v>4340</v>
      </c>
      <c r="I94" s="11">
        <f>_xlfn.XLOOKUP($D94,'AR Historical Financials'!$C$8:$C$93,'AR Historical Financials'!H$8:H$93)</f>
        <v>4296</v>
      </c>
      <c r="J94" s="11">
        <f>_xlfn.XLOOKUP($D94,'AR Historical Financials'!$C$8:$C$93,'AR Historical Financials'!I$8:I$93)</f>
        <v>4120</v>
      </c>
      <c r="K94" s="11">
        <f>_xlfn.XLOOKUP($D94,'AR Historical Financials'!$C$8:$C$93,'AR Historical Financials'!J$8:J$93)</f>
        <v>4175</v>
      </c>
      <c r="L94" s="11">
        <f>_xlfn.XLOOKUP($D94,'AR Historical Financials'!$C$8:$C$93,'AR Historical Financials'!K$8:K$93)</f>
        <v>4347</v>
      </c>
      <c r="M94" s="11">
        <f>_xlfn.XLOOKUP($D94,'AR Historical Financials'!$C$8:$C$93,'AR Historical Financials'!L$8:L$93)</f>
        <v>4282</v>
      </c>
      <c r="N94" s="11">
        <f>_xlfn.XLOOKUP($D94,'AR Historical Financials'!$C$8:$C$93,'AR Historical Financials'!M$8:M$93)</f>
        <v>4114</v>
      </c>
      <c r="O94" s="11">
        <f>_xlfn.XLOOKUP($D94,'AR Historical Financials'!$C$8:$C$93,'AR Historical Financials'!N$8:N$93)</f>
        <v>4189</v>
      </c>
      <c r="P94" s="11">
        <f>_xlfn.XLOOKUP($D94,'AR Historical Financials'!$C$8:$C$93,'AR Historical Financials'!O$8:O$93)</f>
        <v>4353</v>
      </c>
      <c r="Q94" s="11">
        <f>_xlfn.XLOOKUP($D94,'AR Historical Financials'!$C$8:$C$93,'AR Historical Financials'!P$8:P$93)</f>
        <v>4268</v>
      </c>
      <c r="R94" s="11"/>
      <c r="S94" s="11">
        <f t="shared" si="21"/>
        <v>50774</v>
      </c>
      <c r="T94" s="11">
        <f t="shared" si="21"/>
        <v>51106</v>
      </c>
      <c r="U94" s="11">
        <f t="shared" si="21"/>
        <v>51240</v>
      </c>
    </row>
    <row r="95" spans="2:21" x14ac:dyDescent="0.25"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2:21" x14ac:dyDescent="0.25">
      <c r="B96" s="27" t="str">
        <f>_xlfn.LET(_xlpm.r,_xlfn.XLOOKUP(D96,'AR PnL Mapping'!$C$3:$C$60,'AR PnL Mapping'!$B$3:$B$60,""),IF(OR(_xlpm.r="",_xlpm.r=0),"",_xlpm.r))</f>
        <v/>
      </c>
      <c r="D96" s="12" t="s">
        <v>65</v>
      </c>
      <c r="E96" s="12"/>
      <c r="F96" s="13">
        <f>_xlfn.XLOOKUP($D96,'AR Historical Financials'!$C$8:$C$93,'AR Historical Financials'!E$8:E$93)</f>
        <v>28162</v>
      </c>
      <c r="G96" s="13">
        <f>_xlfn.XLOOKUP($D96,'AR Historical Financials'!$C$8:$C$93,'AR Historical Financials'!F$8:F$93)</f>
        <v>28302</v>
      </c>
      <c r="H96" s="13">
        <f>_xlfn.XLOOKUP($D96,'AR Historical Financials'!$C$8:$C$93,'AR Historical Financials'!G$8:G$93)</f>
        <v>28344</v>
      </c>
      <c r="I96" s="13">
        <f>_xlfn.XLOOKUP($D96,'AR Historical Financials'!$C$8:$C$93,'AR Historical Financials'!H$8:H$93)</f>
        <v>28073</v>
      </c>
      <c r="J96" s="13">
        <f>_xlfn.XLOOKUP($D96,'AR Historical Financials'!$C$8:$C$93,'AR Historical Financials'!I$8:I$93)</f>
        <v>27825</v>
      </c>
      <c r="K96" s="13">
        <f>_xlfn.XLOOKUP($D96,'AR Historical Financials'!$C$8:$C$93,'AR Historical Financials'!J$8:J$93)</f>
        <v>28043</v>
      </c>
      <c r="L96" s="13">
        <f>_xlfn.XLOOKUP($D96,'AR Historical Financials'!$C$8:$C$93,'AR Historical Financials'!K$8:K$93)</f>
        <v>28435</v>
      </c>
      <c r="M96" s="13">
        <f>_xlfn.XLOOKUP($D96,'AR Historical Financials'!$C$8:$C$93,'AR Historical Financials'!L$8:L$93)</f>
        <v>28406</v>
      </c>
      <c r="N96" s="13">
        <f>_xlfn.XLOOKUP($D96,'AR Historical Financials'!$C$8:$C$93,'AR Historical Financials'!M$8:M$93)</f>
        <v>28052</v>
      </c>
      <c r="O96" s="13">
        <f>_xlfn.XLOOKUP($D96,'AR Historical Financials'!$C$8:$C$93,'AR Historical Financials'!N$8:N$93)</f>
        <v>27920</v>
      </c>
      <c r="P96" s="13">
        <f>_xlfn.XLOOKUP($D96,'AR Historical Financials'!$C$8:$C$93,'AR Historical Financials'!O$8:O$93)</f>
        <v>28085</v>
      </c>
      <c r="Q96" s="13">
        <f>_xlfn.XLOOKUP($D96,'AR Historical Financials'!$C$8:$C$93,'AR Historical Financials'!P$8:P$93)</f>
        <v>28206</v>
      </c>
      <c r="R96" s="11"/>
      <c r="S96" s="13">
        <f>IFERROR(SUMIFS($E96:$Q96,$E$5:$Q$5,"&gt;="&amp;S$4,$E$5:$Q$5,"&lt;="&amp;S$5),0)*S$2</f>
        <v>337853</v>
      </c>
      <c r="T96" s="13">
        <f>IFERROR(SUMIFS($E96:$Q96,$E$5:$Q$5,"&gt;="&amp;T$4,$E$5:$Q$5,"&lt;="&amp;T$5),0)*T$2</f>
        <v>338208</v>
      </c>
      <c r="U96" s="13">
        <f>IFERROR(SUMIFS($E96:$Q96,$E$5:$Q$5,"&gt;="&amp;U$4,$E$5:$Q$5,"&lt;="&amp;U$5),0)*U$2</f>
        <v>336844</v>
      </c>
    </row>
    <row r="97" spans="2:21" x14ac:dyDescent="0.25"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2:21" x14ac:dyDescent="0.25">
      <c r="B98" s="27" t="str">
        <f>_xlfn.LET(_xlpm.r,_xlfn.XLOOKUP(D98,'AR PnL Mapping'!$C$3:$C$60,'AR PnL Mapping'!$B$3:$B$60,""),IF(OR(_xlpm.r="",_xlpm.r=0),"",_xlpm.r))</f>
        <v>Benefits - Admin</v>
      </c>
      <c r="D98" t="s">
        <v>131</v>
      </c>
      <c r="F98" s="11">
        <f>_xlfn.XLOOKUP($D98,'AR Historical Financials'!$C$8:$C$93,'AR Historical Financials'!E$8:E$93)</f>
        <v>14601</v>
      </c>
      <c r="G98" s="11">
        <f>_xlfn.XLOOKUP($D98,'AR Historical Financials'!$C$8:$C$93,'AR Historical Financials'!F$8:F$93)</f>
        <v>14555</v>
      </c>
      <c r="H98" s="11">
        <f>_xlfn.XLOOKUP($D98,'AR Historical Financials'!$C$8:$C$93,'AR Historical Financials'!G$8:G$93)</f>
        <v>14496</v>
      </c>
      <c r="I98" s="11">
        <f>_xlfn.XLOOKUP($D98,'AR Historical Financials'!$C$8:$C$93,'AR Historical Financials'!H$8:H$93)</f>
        <v>14489</v>
      </c>
      <c r="J98" s="11">
        <f>_xlfn.XLOOKUP($D98,'AR Historical Financials'!$C$8:$C$93,'AR Historical Financials'!I$8:I$93)</f>
        <v>14541</v>
      </c>
      <c r="K98" s="11">
        <f>_xlfn.XLOOKUP($D98,'AR Historical Financials'!$C$8:$C$93,'AR Historical Financials'!J$8:J$93)</f>
        <v>14596</v>
      </c>
      <c r="L98" s="11">
        <f>_xlfn.XLOOKUP($D98,'AR Historical Financials'!$C$8:$C$93,'AR Historical Financials'!K$8:K$93)</f>
        <v>14593</v>
      </c>
      <c r="M98" s="11">
        <f>_xlfn.XLOOKUP($D98,'AR Historical Financials'!$C$8:$C$93,'AR Historical Financials'!L$8:L$93)</f>
        <v>14536</v>
      </c>
      <c r="N98" s="11">
        <f>_xlfn.XLOOKUP($D98,'AR Historical Financials'!$C$8:$C$93,'AR Historical Financials'!M$8:M$93)</f>
        <v>14487</v>
      </c>
      <c r="O98" s="11">
        <f>_xlfn.XLOOKUP($D98,'AR Historical Financials'!$C$8:$C$93,'AR Historical Financials'!N$8:N$93)</f>
        <v>14500</v>
      </c>
      <c r="P98" s="11">
        <f>_xlfn.XLOOKUP($D98,'AR Historical Financials'!$C$8:$C$93,'AR Historical Financials'!O$8:O$93)</f>
        <v>14560</v>
      </c>
      <c r="Q98" s="11">
        <f>_xlfn.XLOOKUP($D98,'AR Historical Financials'!$C$8:$C$93,'AR Historical Financials'!P$8:P$93)</f>
        <v>14602</v>
      </c>
      <c r="R98" s="11"/>
      <c r="S98" s="11">
        <f t="shared" ref="S98:U100" si="22">IFERROR(SUMIFS($E98:$Q98,$E$5:$Q$5,"&gt;="&amp;S$4,$E$5:$Q$5,"&lt;="&amp;S$5),0)*S$2</f>
        <v>174556</v>
      </c>
      <c r="T98" s="11">
        <f t="shared" si="22"/>
        <v>174556</v>
      </c>
      <c r="U98" s="11">
        <f t="shared" si="22"/>
        <v>174648</v>
      </c>
    </row>
    <row r="99" spans="2:21" x14ac:dyDescent="0.25">
      <c r="B99" s="27" t="str">
        <f>_xlfn.LET(_xlpm.r,_xlfn.XLOOKUP(D99,'AR PnL Mapping'!$C$3:$C$60,'AR PnL Mapping'!$B$3:$B$60,""),IF(OR(_xlpm.r="",_xlpm.r=0),"",_xlpm.r))</f>
        <v>Benefits - Admin</v>
      </c>
      <c r="D99" t="s">
        <v>133</v>
      </c>
      <c r="F99" s="11">
        <f>_xlfn.XLOOKUP($D99,'AR Historical Financials'!$C$8:$C$93,'AR Historical Financials'!E$8:E$93)</f>
        <v>11296</v>
      </c>
      <c r="G99" s="11">
        <f>_xlfn.XLOOKUP($D99,'AR Historical Financials'!$C$8:$C$93,'AR Historical Financials'!F$8:F$93)</f>
        <v>11335</v>
      </c>
      <c r="H99" s="11">
        <f>_xlfn.XLOOKUP($D99,'AR Historical Financials'!$C$8:$C$93,'AR Historical Financials'!G$8:G$93)</f>
        <v>11321</v>
      </c>
      <c r="I99" s="11">
        <f>_xlfn.XLOOKUP($D99,'AR Historical Financials'!$C$8:$C$93,'AR Historical Financials'!H$8:H$93)</f>
        <v>11262</v>
      </c>
      <c r="J99" s="11">
        <f>_xlfn.XLOOKUP($D99,'AR Historical Financials'!$C$8:$C$93,'AR Historical Financials'!I$8:I$93)</f>
        <v>11185</v>
      </c>
      <c r="K99" s="11">
        <f>_xlfn.XLOOKUP($D99,'AR Historical Financials'!$C$8:$C$93,'AR Historical Financials'!J$8:J$93)</f>
        <v>11126</v>
      </c>
      <c r="L99" s="11">
        <f>_xlfn.XLOOKUP($D99,'AR Historical Financials'!$C$8:$C$93,'AR Historical Financials'!K$8:K$93)</f>
        <v>11114</v>
      </c>
      <c r="M99" s="11">
        <f>_xlfn.XLOOKUP($D99,'AR Historical Financials'!$C$8:$C$93,'AR Historical Financials'!L$8:L$93)</f>
        <v>11153</v>
      </c>
      <c r="N99" s="11">
        <f>_xlfn.XLOOKUP($D99,'AR Historical Financials'!$C$8:$C$93,'AR Historical Financials'!M$8:M$93)</f>
        <v>11226</v>
      </c>
      <c r="O99" s="11">
        <f>_xlfn.XLOOKUP($D99,'AR Historical Financials'!$C$8:$C$93,'AR Historical Financials'!N$8:N$93)</f>
        <v>11298</v>
      </c>
      <c r="P99" s="11">
        <f>_xlfn.XLOOKUP($D99,'AR Historical Financials'!$C$8:$C$93,'AR Historical Financials'!O$8:O$93)</f>
        <v>11335</v>
      </c>
      <c r="Q99" s="11">
        <f>_xlfn.XLOOKUP($D99,'AR Historical Financials'!$C$8:$C$93,'AR Historical Financials'!P$8:P$93)</f>
        <v>11320</v>
      </c>
      <c r="R99" s="11"/>
      <c r="S99" s="11">
        <f t="shared" si="22"/>
        <v>134971</v>
      </c>
      <c r="T99" s="11">
        <f t="shared" si="22"/>
        <v>134892</v>
      </c>
      <c r="U99" s="11">
        <f t="shared" si="22"/>
        <v>135812</v>
      </c>
    </row>
    <row r="100" spans="2:21" x14ac:dyDescent="0.25">
      <c r="B100" s="27" t="str">
        <f>_xlfn.LET(_xlpm.r,_xlfn.XLOOKUP(D100,'AR PnL Mapping'!$C$3:$C$60,'AR PnL Mapping'!$B$3:$B$60,""),IF(OR(_xlpm.r="",_xlpm.r=0),"",_xlpm.r))</f>
        <v>Insurance - Workers Comp</v>
      </c>
      <c r="D100" t="s">
        <v>136</v>
      </c>
      <c r="F100" s="11">
        <f>_xlfn.XLOOKUP($D100,'AR Historical Financials'!$C$8:$C$93,'AR Historical Financials'!E$8:E$93)</f>
        <v>3051</v>
      </c>
      <c r="G100" s="11">
        <f>_xlfn.XLOOKUP($D100,'AR Historical Financials'!$C$8:$C$93,'AR Historical Financials'!F$8:F$93)</f>
        <v>3062</v>
      </c>
      <c r="H100" s="11">
        <f>_xlfn.XLOOKUP($D100,'AR Historical Financials'!$C$8:$C$93,'AR Historical Financials'!G$8:G$93)</f>
        <v>3066</v>
      </c>
      <c r="I100" s="11">
        <f>_xlfn.XLOOKUP($D100,'AR Historical Financials'!$C$8:$C$93,'AR Historical Financials'!H$8:H$93)</f>
        <v>3064</v>
      </c>
      <c r="J100" s="11">
        <f>_xlfn.XLOOKUP($D100,'AR Historical Financials'!$C$8:$C$93,'AR Historical Financials'!I$8:I$93)</f>
        <v>3054</v>
      </c>
      <c r="K100" s="11">
        <f>_xlfn.XLOOKUP($D100,'AR Historical Financials'!$C$8:$C$93,'AR Historical Financials'!J$8:J$93)</f>
        <v>3040</v>
      </c>
      <c r="L100" s="11">
        <f>_xlfn.XLOOKUP($D100,'AR Historical Financials'!$C$8:$C$93,'AR Historical Financials'!K$8:K$93)</f>
        <v>3025</v>
      </c>
      <c r="M100" s="11">
        <f>_xlfn.XLOOKUP($D100,'AR Historical Financials'!$C$8:$C$93,'AR Historical Financials'!L$8:L$93)</f>
        <v>3013</v>
      </c>
      <c r="N100" s="11">
        <f>_xlfn.XLOOKUP($D100,'AR Historical Financials'!$C$8:$C$93,'AR Historical Financials'!M$8:M$93)</f>
        <v>3006</v>
      </c>
      <c r="O100" s="11">
        <f>_xlfn.XLOOKUP($D100,'AR Historical Financials'!$C$8:$C$93,'AR Historical Financials'!N$8:N$93)</f>
        <v>3007</v>
      </c>
      <c r="P100" s="11">
        <f>_xlfn.XLOOKUP($D100,'AR Historical Financials'!$C$8:$C$93,'AR Historical Financials'!O$8:O$93)</f>
        <v>3015</v>
      </c>
      <c r="Q100" s="11">
        <f>_xlfn.XLOOKUP($D100,'AR Historical Financials'!$C$8:$C$93,'AR Historical Financials'!P$8:P$93)</f>
        <v>3028</v>
      </c>
      <c r="R100" s="11"/>
      <c r="S100" s="11">
        <f t="shared" si="22"/>
        <v>36431</v>
      </c>
      <c r="T100" s="11">
        <f t="shared" si="22"/>
        <v>36188</v>
      </c>
      <c r="U100" s="11">
        <f t="shared" si="22"/>
        <v>36200</v>
      </c>
    </row>
    <row r="101" spans="2:21" x14ac:dyDescent="0.25"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2:21" x14ac:dyDescent="0.25">
      <c r="B102" s="27" t="str">
        <f>_xlfn.LET(_xlpm.r,_xlfn.XLOOKUP(D102,'AR PnL Mapping'!$C$3:$C$60,'AR PnL Mapping'!$B$3:$B$60,""),IF(OR(_xlpm.r="",_xlpm.r=0),"",_xlpm.r))</f>
        <v/>
      </c>
      <c r="D102" s="12" t="s">
        <v>66</v>
      </c>
      <c r="E102" s="12"/>
      <c r="F102" s="13">
        <f>_xlfn.XLOOKUP($D102,'AR Historical Financials'!$C$8:$C$93,'AR Historical Financials'!E$8:E$93)</f>
        <v>28948</v>
      </c>
      <c r="G102" s="13">
        <f>_xlfn.XLOOKUP($D102,'AR Historical Financials'!$C$8:$C$93,'AR Historical Financials'!F$8:F$93)</f>
        <v>28952</v>
      </c>
      <c r="H102" s="13">
        <f>_xlfn.XLOOKUP($D102,'AR Historical Financials'!$C$8:$C$93,'AR Historical Financials'!G$8:G$93)</f>
        <v>28883</v>
      </c>
      <c r="I102" s="13">
        <f>_xlfn.XLOOKUP($D102,'AR Historical Financials'!$C$8:$C$93,'AR Historical Financials'!H$8:H$93)</f>
        <v>28815</v>
      </c>
      <c r="J102" s="13">
        <f>_xlfn.XLOOKUP($D102,'AR Historical Financials'!$C$8:$C$93,'AR Historical Financials'!I$8:I$93)</f>
        <v>28780</v>
      </c>
      <c r="K102" s="13">
        <f>_xlfn.XLOOKUP($D102,'AR Historical Financials'!$C$8:$C$93,'AR Historical Financials'!J$8:J$93)</f>
        <v>28762</v>
      </c>
      <c r="L102" s="13">
        <f>_xlfn.XLOOKUP($D102,'AR Historical Financials'!$C$8:$C$93,'AR Historical Financials'!K$8:K$93)</f>
        <v>28732</v>
      </c>
      <c r="M102" s="13">
        <f>_xlfn.XLOOKUP($D102,'AR Historical Financials'!$C$8:$C$93,'AR Historical Financials'!L$8:L$93)</f>
        <v>28702</v>
      </c>
      <c r="N102" s="13">
        <f>_xlfn.XLOOKUP($D102,'AR Historical Financials'!$C$8:$C$93,'AR Historical Financials'!M$8:M$93)</f>
        <v>28719</v>
      </c>
      <c r="O102" s="13">
        <f>_xlfn.XLOOKUP($D102,'AR Historical Financials'!$C$8:$C$93,'AR Historical Financials'!N$8:N$93)</f>
        <v>28805</v>
      </c>
      <c r="P102" s="13">
        <f>_xlfn.XLOOKUP($D102,'AR Historical Financials'!$C$8:$C$93,'AR Historical Financials'!O$8:O$93)</f>
        <v>28910</v>
      </c>
      <c r="Q102" s="13">
        <f>_xlfn.XLOOKUP($D102,'AR Historical Financials'!$C$8:$C$93,'AR Historical Financials'!P$8:P$93)</f>
        <v>28950</v>
      </c>
      <c r="R102" s="11"/>
      <c r="S102" s="13">
        <f>IFERROR(SUMIFS($E102:$Q102,$E$5:$Q$5,"&gt;="&amp;S$4,$E$5:$Q$5,"&lt;="&amp;S$5),0)*S$2</f>
        <v>345958</v>
      </c>
      <c r="T102" s="13">
        <f>IFERROR(SUMIFS($E102:$Q102,$E$5:$Q$5,"&gt;="&amp;T$4,$E$5:$Q$5,"&lt;="&amp;T$5),0)*T$2</f>
        <v>345636</v>
      </c>
      <c r="U102" s="13">
        <f>IFERROR(SUMIFS($E102:$Q102,$E$5:$Q$5,"&gt;="&amp;U$4,$E$5:$Q$5,"&lt;="&amp;U$5),0)*U$2</f>
        <v>346660</v>
      </c>
    </row>
    <row r="103" spans="2:21" x14ac:dyDescent="0.25"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2:21" x14ac:dyDescent="0.25">
      <c r="B104" s="27" t="str">
        <f>_xlfn.LET(_xlpm.r,_xlfn.XLOOKUP(D104,'AR PnL Mapping'!$C$3:$C$60,'AR PnL Mapping'!$B$3:$B$60,""),IF(OR(_xlpm.r="",_xlpm.r=0),"",_xlpm.r))</f>
        <v>Business Insurance</v>
      </c>
      <c r="D104" t="s">
        <v>138</v>
      </c>
      <c r="F104" s="11">
        <f>_xlfn.XLOOKUP($D104,'AR Historical Financials'!$C$8:$C$93,'AR Historical Financials'!E$8:E$93)</f>
        <v>10120</v>
      </c>
      <c r="G104" s="11">
        <f>_xlfn.XLOOKUP($D104,'AR Historical Financials'!$C$8:$C$93,'AR Historical Financials'!F$8:F$93)</f>
        <v>10120</v>
      </c>
      <c r="H104" s="11">
        <f>_xlfn.XLOOKUP($D104,'AR Historical Financials'!$C$8:$C$93,'AR Historical Financials'!G$8:G$93)</f>
        <v>10120</v>
      </c>
      <c r="I104" s="11">
        <f>_xlfn.XLOOKUP($D104,'AR Historical Financials'!$C$8:$C$93,'AR Historical Financials'!H$8:H$93)</f>
        <v>10120</v>
      </c>
      <c r="J104" s="11">
        <f>_xlfn.XLOOKUP($D104,'AR Historical Financials'!$C$8:$C$93,'AR Historical Financials'!I$8:I$93)</f>
        <v>10120</v>
      </c>
      <c r="K104" s="11">
        <f>_xlfn.XLOOKUP($D104,'AR Historical Financials'!$C$8:$C$93,'AR Historical Financials'!J$8:J$93)</f>
        <v>10120</v>
      </c>
      <c r="L104" s="11">
        <f>_xlfn.XLOOKUP($D104,'AR Historical Financials'!$C$8:$C$93,'AR Historical Financials'!K$8:K$93)</f>
        <v>10120</v>
      </c>
      <c r="M104" s="11">
        <f>_xlfn.XLOOKUP($D104,'AR Historical Financials'!$C$8:$C$93,'AR Historical Financials'!L$8:L$93)</f>
        <v>10120</v>
      </c>
      <c r="N104" s="11">
        <f>_xlfn.XLOOKUP($D104,'AR Historical Financials'!$C$8:$C$93,'AR Historical Financials'!M$8:M$93)</f>
        <v>10120</v>
      </c>
      <c r="O104" s="11">
        <f>_xlfn.XLOOKUP($D104,'AR Historical Financials'!$C$8:$C$93,'AR Historical Financials'!N$8:N$93)</f>
        <v>10120</v>
      </c>
      <c r="P104" s="11">
        <f>_xlfn.XLOOKUP($D104,'AR Historical Financials'!$C$8:$C$93,'AR Historical Financials'!O$8:O$93)</f>
        <v>10120</v>
      </c>
      <c r="Q104" s="11">
        <f>_xlfn.XLOOKUP($D104,'AR Historical Financials'!$C$8:$C$93,'AR Historical Financials'!P$8:P$93)</f>
        <v>10120</v>
      </c>
      <c r="R104" s="11"/>
      <c r="S104" s="11">
        <f t="shared" ref="S104:U106" si="23">IFERROR(SUMIFS($E104:$Q104,$E$5:$Q$5,"&gt;="&amp;S$4,$E$5:$Q$5,"&lt;="&amp;S$5),0)*S$2</f>
        <v>121440</v>
      </c>
      <c r="T104" s="11">
        <f t="shared" si="23"/>
        <v>121440</v>
      </c>
      <c r="U104" s="11">
        <f t="shared" si="23"/>
        <v>121440</v>
      </c>
    </row>
    <row r="105" spans="2:21" x14ac:dyDescent="0.25">
      <c r="B105" s="27" t="str">
        <f>_xlfn.LET(_xlpm.r,_xlfn.XLOOKUP(D105,'AR PnL Mapping'!$C$3:$C$60,'AR PnL Mapping'!$B$3:$B$60,""),IF(OR(_xlpm.r="",_xlpm.r=0),"",_xlpm.r))</f>
        <v>Real Estate Taxes</v>
      </c>
      <c r="D105" t="s">
        <v>140</v>
      </c>
      <c r="F105" s="11">
        <f>_xlfn.XLOOKUP($D105,'AR Historical Financials'!$C$8:$C$93,'AR Historical Financials'!E$8:E$93)</f>
        <v>12880</v>
      </c>
      <c r="G105" s="11">
        <f>_xlfn.XLOOKUP($D105,'AR Historical Financials'!$C$8:$C$93,'AR Historical Financials'!F$8:F$93)</f>
        <v>12880</v>
      </c>
      <c r="H105" s="11">
        <f>_xlfn.XLOOKUP($D105,'AR Historical Financials'!$C$8:$C$93,'AR Historical Financials'!G$8:G$93)</f>
        <v>12880</v>
      </c>
      <c r="I105" s="11">
        <f>_xlfn.XLOOKUP($D105,'AR Historical Financials'!$C$8:$C$93,'AR Historical Financials'!H$8:H$93)</f>
        <v>12880</v>
      </c>
      <c r="J105" s="11">
        <f>_xlfn.XLOOKUP($D105,'AR Historical Financials'!$C$8:$C$93,'AR Historical Financials'!I$8:I$93)</f>
        <v>12880</v>
      </c>
      <c r="K105" s="11">
        <f>_xlfn.XLOOKUP($D105,'AR Historical Financials'!$C$8:$C$93,'AR Historical Financials'!J$8:J$93)</f>
        <v>12880</v>
      </c>
      <c r="L105" s="11">
        <f>_xlfn.XLOOKUP($D105,'AR Historical Financials'!$C$8:$C$93,'AR Historical Financials'!K$8:K$93)</f>
        <v>12880</v>
      </c>
      <c r="M105" s="11">
        <f>_xlfn.XLOOKUP($D105,'AR Historical Financials'!$C$8:$C$93,'AR Historical Financials'!L$8:L$93)</f>
        <v>12880</v>
      </c>
      <c r="N105" s="11">
        <f>_xlfn.XLOOKUP($D105,'AR Historical Financials'!$C$8:$C$93,'AR Historical Financials'!M$8:M$93)</f>
        <v>12880</v>
      </c>
      <c r="O105" s="11">
        <f>_xlfn.XLOOKUP($D105,'AR Historical Financials'!$C$8:$C$93,'AR Historical Financials'!N$8:N$93)</f>
        <v>12880</v>
      </c>
      <c r="P105" s="11">
        <f>_xlfn.XLOOKUP($D105,'AR Historical Financials'!$C$8:$C$93,'AR Historical Financials'!O$8:O$93)</f>
        <v>12880</v>
      </c>
      <c r="Q105" s="11">
        <f>_xlfn.XLOOKUP($D105,'AR Historical Financials'!$C$8:$C$93,'AR Historical Financials'!P$8:P$93)</f>
        <v>12880</v>
      </c>
      <c r="R105" s="11"/>
      <c r="S105" s="11">
        <f t="shared" si="23"/>
        <v>154560</v>
      </c>
      <c r="T105" s="11">
        <f t="shared" si="23"/>
        <v>154560</v>
      </c>
      <c r="U105" s="11">
        <f t="shared" si="23"/>
        <v>154560</v>
      </c>
    </row>
    <row r="106" spans="2:21" x14ac:dyDescent="0.25">
      <c r="B106" s="27" t="str">
        <f>_xlfn.LET(_xlpm.r,_xlfn.XLOOKUP(D106,'AR PnL Mapping'!$C$3:$C$60,'AR PnL Mapping'!$B$3:$B$60,""),IF(OR(_xlpm.r="",_xlpm.r=0),"",_xlpm.r))</f>
        <v>Management Fee</v>
      </c>
      <c r="D106" t="s">
        <v>141</v>
      </c>
      <c r="F106" s="11">
        <f>_xlfn.XLOOKUP($D106,'AR Historical Financials'!$C$8:$C$93,'AR Historical Financials'!E$8:E$93)</f>
        <v>19812</v>
      </c>
      <c r="G106" s="11">
        <f>_xlfn.XLOOKUP($D106,'AR Historical Financials'!$C$8:$C$93,'AR Historical Financials'!F$8:F$93)</f>
        <v>20748</v>
      </c>
      <c r="H106" s="11">
        <f>_xlfn.XLOOKUP($D106,'AR Historical Financials'!$C$8:$C$93,'AR Historical Financials'!G$8:G$93)</f>
        <v>20592</v>
      </c>
      <c r="I106" s="11">
        <f>_xlfn.XLOOKUP($D106,'AR Historical Financials'!$C$8:$C$93,'AR Historical Financials'!H$8:H$93)</f>
        <v>20105</v>
      </c>
      <c r="J106" s="11">
        <f>_xlfn.XLOOKUP($D106,'AR Historical Financials'!$C$8:$C$93,'AR Historical Financials'!I$8:I$93)</f>
        <v>21565</v>
      </c>
      <c r="K106" s="11">
        <f>_xlfn.XLOOKUP($D106,'AR Historical Financials'!$C$8:$C$93,'AR Historical Financials'!J$8:J$93)</f>
        <v>21015</v>
      </c>
      <c r="L106" s="11">
        <f>_xlfn.XLOOKUP($D106,'AR Historical Financials'!$C$8:$C$93,'AR Historical Financials'!K$8:K$93)</f>
        <v>21108</v>
      </c>
      <c r="M106" s="11">
        <f>_xlfn.XLOOKUP($D106,'AR Historical Financials'!$C$8:$C$93,'AR Historical Financials'!L$8:L$93)</f>
        <v>21141</v>
      </c>
      <c r="N106" s="11">
        <f>_xlfn.XLOOKUP($D106,'AR Historical Financials'!$C$8:$C$93,'AR Historical Financials'!M$8:M$93)</f>
        <v>21426</v>
      </c>
      <c r="O106" s="11">
        <f>_xlfn.XLOOKUP($D106,'AR Historical Financials'!$C$8:$C$93,'AR Historical Financials'!N$8:N$93)</f>
        <v>21015</v>
      </c>
      <c r="P106" s="11">
        <f>_xlfn.XLOOKUP($D106,'AR Historical Financials'!$C$8:$C$93,'AR Historical Financials'!O$8:O$93)</f>
        <v>21882</v>
      </c>
      <c r="Q106" s="11">
        <f>_xlfn.XLOOKUP($D106,'AR Historical Financials'!$C$8:$C$93,'AR Historical Financials'!P$8:P$93)</f>
        <v>21667</v>
      </c>
      <c r="R106" s="11"/>
      <c r="S106" s="11">
        <f t="shared" si="23"/>
        <v>252076</v>
      </c>
      <c r="T106" s="11">
        <f t="shared" si="23"/>
        <v>256478</v>
      </c>
      <c r="U106" s="11">
        <f t="shared" si="23"/>
        <v>258256</v>
      </c>
    </row>
    <row r="107" spans="2:21" x14ac:dyDescent="0.25"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2:21" x14ac:dyDescent="0.25">
      <c r="B108" s="27" t="str">
        <f>_xlfn.LET(_xlpm.r,_xlfn.XLOOKUP(D108,'AR PnL Mapping'!$C$3:$C$60,'AR PnL Mapping'!$B$3:$B$60,""),IF(OR(_xlpm.r="",_xlpm.r=0),"",_xlpm.r))</f>
        <v/>
      </c>
      <c r="D108" s="12" t="s">
        <v>67</v>
      </c>
      <c r="E108" s="12"/>
      <c r="F108" s="13">
        <f>_xlfn.XLOOKUP($D108,'AR Historical Financials'!$C$8:$C$93,'AR Historical Financials'!E$8:E$93)</f>
        <v>42812</v>
      </c>
      <c r="G108" s="13">
        <f>_xlfn.XLOOKUP($D108,'AR Historical Financials'!$C$8:$C$93,'AR Historical Financials'!F$8:F$93)</f>
        <v>43748</v>
      </c>
      <c r="H108" s="13">
        <f>_xlfn.XLOOKUP($D108,'AR Historical Financials'!$C$8:$C$93,'AR Historical Financials'!G$8:G$93)</f>
        <v>43592</v>
      </c>
      <c r="I108" s="13">
        <f>_xlfn.XLOOKUP($D108,'AR Historical Financials'!$C$8:$C$93,'AR Historical Financials'!H$8:H$93)</f>
        <v>43105</v>
      </c>
      <c r="J108" s="13">
        <f>_xlfn.XLOOKUP($D108,'AR Historical Financials'!$C$8:$C$93,'AR Historical Financials'!I$8:I$93)</f>
        <v>44565</v>
      </c>
      <c r="K108" s="13">
        <f>_xlfn.XLOOKUP($D108,'AR Historical Financials'!$C$8:$C$93,'AR Historical Financials'!J$8:J$93)</f>
        <v>44015</v>
      </c>
      <c r="L108" s="13">
        <f>_xlfn.XLOOKUP($D108,'AR Historical Financials'!$C$8:$C$93,'AR Historical Financials'!K$8:K$93)</f>
        <v>44108</v>
      </c>
      <c r="M108" s="13">
        <f>_xlfn.XLOOKUP($D108,'AR Historical Financials'!$C$8:$C$93,'AR Historical Financials'!L$8:L$93)</f>
        <v>44141</v>
      </c>
      <c r="N108" s="13">
        <f>_xlfn.XLOOKUP($D108,'AR Historical Financials'!$C$8:$C$93,'AR Historical Financials'!M$8:M$93)</f>
        <v>44426</v>
      </c>
      <c r="O108" s="13">
        <f>_xlfn.XLOOKUP($D108,'AR Historical Financials'!$C$8:$C$93,'AR Historical Financials'!N$8:N$93)</f>
        <v>44015</v>
      </c>
      <c r="P108" s="13">
        <f>_xlfn.XLOOKUP($D108,'AR Historical Financials'!$C$8:$C$93,'AR Historical Financials'!O$8:O$93)</f>
        <v>44882</v>
      </c>
      <c r="Q108" s="13">
        <f>_xlfn.XLOOKUP($D108,'AR Historical Financials'!$C$8:$C$93,'AR Historical Financials'!P$8:P$93)</f>
        <v>44667</v>
      </c>
      <c r="R108" s="11"/>
      <c r="S108" s="13">
        <f>IFERROR(SUMIFS($E108:$Q108,$E$5:$Q$5,"&gt;="&amp;S$4,$E$5:$Q$5,"&lt;="&amp;S$5),0)*S$2</f>
        <v>528076</v>
      </c>
      <c r="T108" s="13">
        <f>IFERROR(SUMIFS($E108:$Q108,$E$5:$Q$5,"&gt;="&amp;T$4,$E$5:$Q$5,"&lt;="&amp;T$5),0)*T$2</f>
        <v>532478</v>
      </c>
      <c r="U108" s="13">
        <f>IFERROR(SUMIFS($E108:$Q108,$E$5:$Q$5,"&gt;="&amp;U$4,$E$5:$Q$5,"&lt;="&amp;U$5),0)*U$2</f>
        <v>534256</v>
      </c>
    </row>
    <row r="109" spans="2:21" x14ac:dyDescent="0.25"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2:21" x14ac:dyDescent="0.25">
      <c r="B110" s="27" t="str">
        <f>_xlfn.LET(_xlpm.r,_xlfn.XLOOKUP(D110,'AR PnL Mapping'!$C$3:$C$60,'AR PnL Mapping'!$B$3:$B$60,""),IF(OR(_xlpm.r="",_xlpm.r=0),"",_xlpm.r))</f>
        <v/>
      </c>
      <c r="D110" s="12" t="s">
        <v>48</v>
      </c>
      <c r="E110" s="12"/>
      <c r="F110" s="13">
        <f>_xlfn.XLOOKUP($D110,'AR Historical Financials'!$C$8:$C$93,'AR Historical Financials'!E$8:E$93)</f>
        <v>285823</v>
      </c>
      <c r="G110" s="13">
        <f>_xlfn.XLOOKUP($D110,'AR Historical Financials'!$C$8:$C$93,'AR Historical Financials'!F$8:F$93)</f>
        <v>286326</v>
      </c>
      <c r="H110" s="13">
        <f>_xlfn.XLOOKUP($D110,'AR Historical Financials'!$C$8:$C$93,'AR Historical Financials'!G$8:G$93)</f>
        <v>283277</v>
      </c>
      <c r="I110" s="13">
        <f>_xlfn.XLOOKUP($D110,'AR Historical Financials'!$C$8:$C$93,'AR Historical Financials'!H$8:H$93)</f>
        <v>281884</v>
      </c>
      <c r="J110" s="13">
        <f>_xlfn.XLOOKUP($D110,'AR Historical Financials'!$C$8:$C$93,'AR Historical Financials'!I$8:I$93)</f>
        <v>285001</v>
      </c>
      <c r="K110" s="13">
        <f>_xlfn.XLOOKUP($D110,'AR Historical Financials'!$C$8:$C$93,'AR Historical Financials'!J$8:J$93)</f>
        <v>287726</v>
      </c>
      <c r="L110" s="13">
        <f>_xlfn.XLOOKUP($D110,'AR Historical Financials'!$C$8:$C$93,'AR Historical Financials'!K$8:K$93)</f>
        <v>289249</v>
      </c>
      <c r="M110" s="13">
        <f>_xlfn.XLOOKUP($D110,'AR Historical Financials'!$C$8:$C$93,'AR Historical Financials'!L$8:L$93)</f>
        <v>287940</v>
      </c>
      <c r="N110" s="13">
        <f>_xlfn.XLOOKUP($D110,'AR Historical Financials'!$C$8:$C$93,'AR Historical Financials'!M$8:M$93)</f>
        <v>285361</v>
      </c>
      <c r="O110" s="13">
        <f>_xlfn.XLOOKUP($D110,'AR Historical Financials'!$C$8:$C$93,'AR Historical Financials'!N$8:N$93)</f>
        <v>283040</v>
      </c>
      <c r="P110" s="13">
        <f>_xlfn.XLOOKUP($D110,'AR Historical Financials'!$C$8:$C$93,'AR Historical Financials'!O$8:O$93)</f>
        <v>284503</v>
      </c>
      <c r="Q110" s="13">
        <f>_xlfn.XLOOKUP($D110,'AR Historical Financials'!$C$8:$C$93,'AR Historical Financials'!P$8:P$93)</f>
        <v>286547</v>
      </c>
      <c r="R110" s="11"/>
      <c r="S110" s="13">
        <f>IFERROR(SUMIFS($E110:$Q110,$E$5:$Q$5,"&gt;="&amp;S$4,$E$5:$Q$5,"&lt;="&amp;S$5),0)*S$2</f>
        <v>3426677</v>
      </c>
      <c r="T110" s="13">
        <f>IFERROR(SUMIFS($E110:$Q110,$E$5:$Q$5,"&gt;="&amp;T$4,$E$5:$Q$5,"&lt;="&amp;T$5),0)*T$2</f>
        <v>3433280</v>
      </c>
      <c r="U110" s="13">
        <f>IFERROR(SUMIFS($E110:$Q110,$E$5:$Q$5,"&gt;="&amp;U$4,$E$5:$Q$5,"&lt;="&amp;U$5),0)*U$2</f>
        <v>3416360</v>
      </c>
    </row>
    <row r="111" spans="2:21" x14ac:dyDescent="0.25"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2:21" x14ac:dyDescent="0.25">
      <c r="B112" s="27" t="str">
        <f>_xlfn.LET(_xlpm.r,_xlfn.XLOOKUP(D112,'AR PnL Mapping'!$C$3:$C$60,'AR PnL Mapping'!$B$3:$B$60,""),IF(OR(_xlpm.r="",_xlpm.r=0),"",_xlpm.r))</f>
        <v/>
      </c>
      <c r="D112" s="12" t="s">
        <v>49</v>
      </c>
      <c r="E112" s="12"/>
      <c r="F112" s="13">
        <f>_xlfn.XLOOKUP($D112,'AR Historical Financials'!$C$8:$C$93,'AR Historical Financials'!E$8:E$93)</f>
        <v>110425</v>
      </c>
      <c r="G112" s="13">
        <f>_xlfn.XLOOKUP($D112,'AR Historical Financials'!$C$8:$C$93,'AR Historical Financials'!F$8:F$93)</f>
        <v>128635</v>
      </c>
      <c r="H112" s="13">
        <f>_xlfn.XLOOKUP($D112,'AR Historical Financials'!$C$8:$C$93,'AR Historical Financials'!G$8:G$93)</f>
        <v>128564</v>
      </c>
      <c r="I112" s="13">
        <f>_xlfn.XLOOKUP($D112,'AR Historical Financials'!$C$8:$C$93,'AR Historical Financials'!H$8:H$93)</f>
        <v>120208</v>
      </c>
      <c r="J112" s="13">
        <f>_xlfn.XLOOKUP($D112,'AR Historical Financials'!$C$8:$C$93,'AR Historical Financials'!I$8:I$93)</f>
        <v>146294</v>
      </c>
      <c r="K112" s="13">
        <f>_xlfn.XLOOKUP($D112,'AR Historical Financials'!$C$8:$C$93,'AR Historical Financials'!J$8:J$93)</f>
        <v>132565</v>
      </c>
      <c r="L112" s="13">
        <f>_xlfn.XLOOKUP($D112,'AR Historical Financials'!$C$8:$C$93,'AR Historical Financials'!K$8:K$93)</f>
        <v>132911</v>
      </c>
      <c r="M112" s="13">
        <f>_xlfn.XLOOKUP($D112,'AR Historical Financials'!$C$8:$C$93,'AR Historical Financials'!L$8:L$93)</f>
        <v>134889</v>
      </c>
      <c r="N112" s="13">
        <f>_xlfn.XLOOKUP($D112,'AR Historical Financials'!$C$8:$C$93,'AR Historical Financials'!M$8:M$93)</f>
        <v>143159</v>
      </c>
      <c r="O112" s="13">
        <f>_xlfn.XLOOKUP($D112,'AR Historical Financials'!$C$8:$C$93,'AR Historical Financials'!N$8:N$93)</f>
        <v>137262</v>
      </c>
      <c r="P112" s="13">
        <f>_xlfn.XLOOKUP($D112,'AR Historical Financials'!$C$8:$C$93,'AR Historical Financials'!O$8:O$93)</f>
        <v>153133</v>
      </c>
      <c r="Q112" s="13">
        <f>_xlfn.XLOOKUP($D112,'AR Historical Financials'!$C$8:$C$93,'AR Historical Financials'!P$8:P$93)</f>
        <v>146787</v>
      </c>
      <c r="R112" s="11"/>
      <c r="S112" s="13">
        <f>IFERROR(SUMIFS($E112:$Q112,$E$5:$Q$5,"&gt;="&amp;S$4,$E$5:$Q$5,"&lt;="&amp;S$5),0)*S$2</f>
        <v>1614832</v>
      </c>
      <c r="T112" s="13">
        <f>IFERROR(SUMIFS($E112:$Q112,$E$5:$Q$5,"&gt;="&amp;T$4,$E$5:$Q$5,"&lt;="&amp;T$5),0)*T$2</f>
        <v>1696282</v>
      </c>
      <c r="U112" s="13">
        <f>IFERROR(SUMIFS($E112:$Q112,$E$5:$Q$5,"&gt;="&amp;U$4,$E$5:$Q$5,"&lt;="&amp;U$5),0)*U$2</f>
        <v>1748728</v>
      </c>
    </row>
    <row r="116" spans="2:21" x14ac:dyDescent="0.25">
      <c r="B116" t="s">
        <v>190</v>
      </c>
      <c r="C116" t="s">
        <v>75</v>
      </c>
      <c r="F116" s="11">
        <f t="shared" ref="F116:Q126" si="24">+SUMIFS(F$25:F$113,$B$25:$B$113,$C116)</f>
        <v>120910</v>
      </c>
      <c r="G116" s="11">
        <f t="shared" si="24"/>
        <v>125160</v>
      </c>
      <c r="H116" s="11">
        <f t="shared" si="24"/>
        <v>124124</v>
      </c>
      <c r="I116" s="11">
        <f t="shared" si="24"/>
        <v>118673</v>
      </c>
      <c r="J116" s="11">
        <f t="shared" si="24"/>
        <v>123170</v>
      </c>
      <c r="K116" s="11">
        <f t="shared" si="24"/>
        <v>128565</v>
      </c>
      <c r="L116" s="11">
        <f t="shared" si="24"/>
        <v>129671</v>
      </c>
      <c r="M116" s="11">
        <f t="shared" si="24"/>
        <v>125562</v>
      </c>
      <c r="N116" s="11">
        <f t="shared" si="24"/>
        <v>125145</v>
      </c>
      <c r="O116" s="11">
        <f t="shared" si="24"/>
        <v>128700</v>
      </c>
      <c r="P116" s="11">
        <f t="shared" si="24"/>
        <v>127791</v>
      </c>
      <c r="Q116" s="11">
        <f t="shared" si="24"/>
        <v>128925</v>
      </c>
      <c r="R116" s="11"/>
      <c r="S116" s="11">
        <f t="shared" ref="S116:U126" si="25">IFERROR(SUMIFS($E116:$Q116,$E$5:$Q$5,"&gt;="&amp;S$4,$E$5:$Q$5,"&lt;="&amp;S$5),0)*S$2</f>
        <v>1506396</v>
      </c>
      <c r="T116" s="11">
        <f t="shared" si="25"/>
        <v>1531588</v>
      </c>
      <c r="U116" s="11">
        <f t="shared" si="25"/>
        <v>1541664</v>
      </c>
    </row>
    <row r="117" spans="2:21" x14ac:dyDescent="0.25">
      <c r="B117" t="s">
        <v>191</v>
      </c>
      <c r="C117" t="s">
        <v>73</v>
      </c>
      <c r="F117" s="11">
        <f t="shared" si="24"/>
        <v>130152</v>
      </c>
      <c r="G117" s="11">
        <f t="shared" si="24"/>
        <v>130398</v>
      </c>
      <c r="H117" s="11">
        <f t="shared" si="24"/>
        <v>133507</v>
      </c>
      <c r="I117" s="11">
        <f t="shared" si="24"/>
        <v>132350</v>
      </c>
      <c r="J117" s="11">
        <f t="shared" si="24"/>
        <v>135400</v>
      </c>
      <c r="K117" s="11">
        <f t="shared" si="24"/>
        <v>135680</v>
      </c>
      <c r="L117" s="11">
        <f t="shared" si="24"/>
        <v>136760</v>
      </c>
      <c r="M117" s="11">
        <f t="shared" si="24"/>
        <v>133994</v>
      </c>
      <c r="N117" s="11">
        <f t="shared" si="24"/>
        <v>138063</v>
      </c>
      <c r="O117" s="11">
        <f t="shared" si="24"/>
        <v>137300</v>
      </c>
      <c r="P117" s="11">
        <f t="shared" si="24"/>
        <v>139892</v>
      </c>
      <c r="Q117" s="11">
        <f t="shared" si="24"/>
        <v>140535</v>
      </c>
      <c r="R117" s="11"/>
      <c r="S117" s="11">
        <f t="shared" si="25"/>
        <v>1624031</v>
      </c>
      <c r="T117" s="11">
        <f t="shared" si="25"/>
        <v>1653088</v>
      </c>
      <c r="U117" s="11">
        <f t="shared" si="25"/>
        <v>1670908</v>
      </c>
    </row>
    <row r="118" spans="2:21" x14ac:dyDescent="0.25">
      <c r="B118" t="s">
        <v>192</v>
      </c>
      <c r="C118" t="s">
        <v>142</v>
      </c>
      <c r="F118" s="11">
        <f t="shared" si="24"/>
        <v>0</v>
      </c>
      <c r="G118" s="11">
        <f t="shared" si="24"/>
        <v>0</v>
      </c>
      <c r="H118" s="11">
        <f t="shared" si="24"/>
        <v>0</v>
      </c>
      <c r="I118" s="11">
        <f t="shared" si="24"/>
        <v>0</v>
      </c>
      <c r="J118" s="11">
        <f t="shared" si="24"/>
        <v>0</v>
      </c>
      <c r="K118" s="11">
        <f t="shared" si="24"/>
        <v>0</v>
      </c>
      <c r="L118" s="11">
        <f t="shared" si="24"/>
        <v>0</v>
      </c>
      <c r="M118" s="11">
        <f t="shared" si="24"/>
        <v>0</v>
      </c>
      <c r="N118" s="11">
        <f t="shared" si="24"/>
        <v>0</v>
      </c>
      <c r="O118" s="11">
        <f t="shared" si="24"/>
        <v>0</v>
      </c>
      <c r="P118" s="11">
        <f t="shared" si="24"/>
        <v>0</v>
      </c>
      <c r="Q118" s="11">
        <f t="shared" si="24"/>
        <v>0</v>
      </c>
      <c r="R118" s="11"/>
      <c r="S118" s="11">
        <f t="shared" si="25"/>
        <v>0</v>
      </c>
      <c r="T118" s="11">
        <f t="shared" si="25"/>
        <v>0</v>
      </c>
      <c r="U118" s="11">
        <f t="shared" si="25"/>
        <v>0</v>
      </c>
    </row>
    <row r="119" spans="2:21" x14ac:dyDescent="0.25">
      <c r="B119" t="s">
        <v>193</v>
      </c>
      <c r="C119" t="s">
        <v>77</v>
      </c>
      <c r="F119" s="11">
        <f t="shared" si="24"/>
        <v>86707</v>
      </c>
      <c r="G119" s="11">
        <f t="shared" si="24"/>
        <v>93912</v>
      </c>
      <c r="H119" s="11">
        <f t="shared" si="24"/>
        <v>93135</v>
      </c>
      <c r="I119" s="11">
        <f t="shared" si="24"/>
        <v>92846</v>
      </c>
      <c r="J119" s="11">
        <f t="shared" si="24"/>
        <v>101036</v>
      </c>
      <c r="K119" s="11">
        <f t="shared" si="24"/>
        <v>94072</v>
      </c>
      <c r="L119" s="11">
        <f t="shared" si="24"/>
        <v>94660</v>
      </c>
      <c r="M119" s="11">
        <f t="shared" si="24"/>
        <v>102463</v>
      </c>
      <c r="N119" s="11">
        <f t="shared" si="24"/>
        <v>101721</v>
      </c>
      <c r="O119" s="11">
        <f t="shared" si="24"/>
        <v>93124</v>
      </c>
      <c r="P119" s="11">
        <f t="shared" si="24"/>
        <v>100585</v>
      </c>
      <c r="Q119" s="11">
        <f t="shared" si="24"/>
        <v>101595</v>
      </c>
      <c r="R119" s="11"/>
      <c r="S119" s="11">
        <f t="shared" si="25"/>
        <v>1155856</v>
      </c>
      <c r="T119" s="11">
        <f t="shared" si="25"/>
        <v>1188296</v>
      </c>
      <c r="U119" s="11">
        <f t="shared" si="25"/>
        <v>1181216</v>
      </c>
    </row>
    <row r="120" spans="2:21" x14ac:dyDescent="0.25">
      <c r="B120" t="s">
        <v>143</v>
      </c>
      <c r="C120" t="s">
        <v>143</v>
      </c>
      <c r="F120" s="11">
        <f t="shared" si="24"/>
        <v>0</v>
      </c>
      <c r="G120" s="11">
        <f t="shared" si="24"/>
        <v>0</v>
      </c>
      <c r="H120" s="11">
        <f t="shared" si="24"/>
        <v>0</v>
      </c>
      <c r="I120" s="11">
        <f t="shared" si="24"/>
        <v>0</v>
      </c>
      <c r="J120" s="11">
        <f t="shared" si="24"/>
        <v>0</v>
      </c>
      <c r="K120" s="11">
        <f t="shared" si="24"/>
        <v>0</v>
      </c>
      <c r="L120" s="11">
        <f t="shared" si="24"/>
        <v>0</v>
      </c>
      <c r="M120" s="11">
        <f t="shared" si="24"/>
        <v>0</v>
      </c>
      <c r="N120" s="11">
        <f t="shared" si="24"/>
        <v>0</v>
      </c>
      <c r="O120" s="11">
        <f t="shared" si="24"/>
        <v>0</v>
      </c>
      <c r="P120" s="11">
        <f t="shared" si="24"/>
        <v>0</v>
      </c>
      <c r="Q120" s="11">
        <f t="shared" si="24"/>
        <v>0</v>
      </c>
      <c r="R120" s="11"/>
      <c r="S120" s="11">
        <f t="shared" si="25"/>
        <v>0</v>
      </c>
      <c r="T120" s="11">
        <f t="shared" si="25"/>
        <v>0</v>
      </c>
      <c r="U120" s="11">
        <f t="shared" si="25"/>
        <v>0</v>
      </c>
    </row>
    <row r="121" spans="2:21" x14ac:dyDescent="0.25">
      <c r="B121" t="s">
        <v>86</v>
      </c>
      <c r="C121" t="s">
        <v>86</v>
      </c>
      <c r="F121" s="11">
        <f t="shared" si="24"/>
        <v>6094</v>
      </c>
      <c r="G121" s="11">
        <f t="shared" si="24"/>
        <v>5169</v>
      </c>
      <c r="H121" s="11">
        <f t="shared" si="24"/>
        <v>5035</v>
      </c>
      <c r="I121" s="11">
        <f t="shared" si="24"/>
        <v>5675</v>
      </c>
      <c r="J121" s="11">
        <f t="shared" si="24"/>
        <v>5730</v>
      </c>
      <c r="K121" s="11">
        <f t="shared" si="24"/>
        <v>5439</v>
      </c>
      <c r="L121" s="11">
        <f t="shared" si="24"/>
        <v>5568</v>
      </c>
      <c r="M121" s="11">
        <f t="shared" si="24"/>
        <v>5520</v>
      </c>
      <c r="N121" s="11">
        <f t="shared" si="24"/>
        <v>5131</v>
      </c>
      <c r="O121" s="11">
        <f t="shared" si="24"/>
        <v>5439</v>
      </c>
      <c r="P121" s="11">
        <f t="shared" si="24"/>
        <v>6107</v>
      </c>
      <c r="Q121" s="11">
        <f t="shared" si="24"/>
        <v>5659</v>
      </c>
      <c r="R121" s="11"/>
      <c r="S121" s="11">
        <f t="shared" si="25"/>
        <v>66566</v>
      </c>
      <c r="T121" s="11">
        <f t="shared" si="25"/>
        <v>66848</v>
      </c>
      <c r="U121" s="11">
        <f t="shared" si="25"/>
        <v>68820</v>
      </c>
    </row>
    <row r="122" spans="2:21" x14ac:dyDescent="0.25">
      <c r="B122" t="s">
        <v>86</v>
      </c>
      <c r="C122" t="s">
        <v>144</v>
      </c>
      <c r="F122" s="11">
        <f t="shared" si="24"/>
        <v>0</v>
      </c>
      <c r="G122" s="11">
        <f t="shared" si="24"/>
        <v>0</v>
      </c>
      <c r="H122" s="11">
        <f t="shared" si="24"/>
        <v>0</v>
      </c>
      <c r="I122" s="11">
        <f t="shared" si="24"/>
        <v>0</v>
      </c>
      <c r="J122" s="11">
        <f t="shared" si="24"/>
        <v>0</v>
      </c>
      <c r="K122" s="11">
        <f t="shared" si="24"/>
        <v>0</v>
      </c>
      <c r="L122" s="11">
        <f t="shared" si="24"/>
        <v>0</v>
      </c>
      <c r="M122" s="11">
        <f t="shared" si="24"/>
        <v>0</v>
      </c>
      <c r="N122" s="11">
        <f t="shared" si="24"/>
        <v>0</v>
      </c>
      <c r="O122" s="11">
        <f t="shared" si="24"/>
        <v>0</v>
      </c>
      <c r="P122" s="11">
        <f t="shared" si="24"/>
        <v>0</v>
      </c>
      <c r="Q122" s="11">
        <f t="shared" si="24"/>
        <v>0</v>
      </c>
      <c r="R122" s="11"/>
      <c r="S122" s="11">
        <f t="shared" si="25"/>
        <v>0</v>
      </c>
      <c r="T122" s="11">
        <f t="shared" si="25"/>
        <v>0</v>
      </c>
      <c r="U122" s="11">
        <f t="shared" si="25"/>
        <v>0</v>
      </c>
    </row>
    <row r="123" spans="2:21" x14ac:dyDescent="0.25">
      <c r="B123" t="s">
        <v>86</v>
      </c>
      <c r="C123" t="s">
        <v>83</v>
      </c>
      <c r="F123" s="11">
        <f t="shared" si="24"/>
        <v>7297</v>
      </c>
      <c r="G123" s="11">
        <f t="shared" si="24"/>
        <v>7396</v>
      </c>
      <c r="H123" s="11">
        <f t="shared" si="24"/>
        <v>7551</v>
      </c>
      <c r="I123" s="11">
        <f t="shared" si="24"/>
        <v>7493</v>
      </c>
      <c r="J123" s="11">
        <f t="shared" si="24"/>
        <v>7787</v>
      </c>
      <c r="K123" s="11">
        <f t="shared" si="24"/>
        <v>7905</v>
      </c>
      <c r="L123" s="11">
        <f t="shared" si="24"/>
        <v>7847</v>
      </c>
      <c r="M123" s="11">
        <f t="shared" si="24"/>
        <v>7539</v>
      </c>
      <c r="N123" s="11">
        <f t="shared" si="24"/>
        <v>7638</v>
      </c>
      <c r="O123" s="11">
        <f t="shared" si="24"/>
        <v>7795</v>
      </c>
      <c r="P123" s="11">
        <f t="shared" si="24"/>
        <v>7986</v>
      </c>
      <c r="Q123" s="11">
        <f t="shared" si="24"/>
        <v>7960</v>
      </c>
      <c r="R123" s="11"/>
      <c r="S123" s="11">
        <f t="shared" si="25"/>
        <v>92194</v>
      </c>
      <c r="T123" s="11">
        <f t="shared" si="25"/>
        <v>93530</v>
      </c>
      <c r="U123" s="11">
        <f t="shared" si="25"/>
        <v>94964</v>
      </c>
    </row>
    <row r="124" spans="2:21" x14ac:dyDescent="0.25">
      <c r="B124" t="s">
        <v>194</v>
      </c>
      <c r="C124" t="s">
        <v>79</v>
      </c>
      <c r="F124" s="11">
        <f t="shared" si="24"/>
        <v>25794</v>
      </c>
      <c r="G124" s="11">
        <f t="shared" si="24"/>
        <v>26554</v>
      </c>
      <c r="H124" s="11">
        <f t="shared" si="24"/>
        <v>26411</v>
      </c>
      <c r="I124" s="11">
        <f t="shared" si="24"/>
        <v>25486</v>
      </c>
      <c r="J124" s="11">
        <f t="shared" si="24"/>
        <v>26677</v>
      </c>
      <c r="K124" s="11">
        <f t="shared" si="24"/>
        <v>27880</v>
      </c>
      <c r="L124" s="11">
        <f t="shared" si="24"/>
        <v>27928</v>
      </c>
      <c r="M124" s="11">
        <f t="shared" si="24"/>
        <v>26782</v>
      </c>
      <c r="N124" s="11">
        <f t="shared" si="24"/>
        <v>26550</v>
      </c>
      <c r="O124" s="11">
        <f t="shared" si="24"/>
        <v>27389</v>
      </c>
      <c r="P124" s="11">
        <f t="shared" si="24"/>
        <v>27449</v>
      </c>
      <c r="Q124" s="11">
        <f t="shared" si="24"/>
        <v>27660</v>
      </c>
      <c r="R124" s="11"/>
      <c r="S124" s="11">
        <f t="shared" si="25"/>
        <v>322560</v>
      </c>
      <c r="T124" s="11">
        <f t="shared" si="25"/>
        <v>327516</v>
      </c>
      <c r="U124" s="11">
        <f t="shared" si="25"/>
        <v>329992</v>
      </c>
    </row>
    <row r="125" spans="2:21" x14ac:dyDescent="0.25">
      <c r="B125" t="s">
        <v>195</v>
      </c>
      <c r="C125" t="s">
        <v>81</v>
      </c>
      <c r="F125" s="11">
        <f t="shared" si="24"/>
        <v>15207</v>
      </c>
      <c r="G125" s="11">
        <f t="shared" si="24"/>
        <v>16471</v>
      </c>
      <c r="H125" s="11">
        <f t="shared" si="24"/>
        <v>16462</v>
      </c>
      <c r="I125" s="11">
        <f t="shared" si="24"/>
        <v>16569</v>
      </c>
      <c r="J125" s="11">
        <f t="shared" si="24"/>
        <v>18104</v>
      </c>
      <c r="K125" s="11">
        <f t="shared" si="24"/>
        <v>16781</v>
      </c>
      <c r="L125" s="11">
        <f t="shared" si="24"/>
        <v>16726</v>
      </c>
      <c r="M125" s="11">
        <f t="shared" si="24"/>
        <v>17969</v>
      </c>
      <c r="N125" s="11">
        <f t="shared" si="24"/>
        <v>17842</v>
      </c>
      <c r="O125" s="11">
        <f t="shared" si="24"/>
        <v>16463</v>
      </c>
      <c r="P125" s="11">
        <f t="shared" si="24"/>
        <v>17953</v>
      </c>
      <c r="Q125" s="11">
        <f t="shared" si="24"/>
        <v>18000</v>
      </c>
      <c r="R125" s="11"/>
      <c r="S125" s="11">
        <f t="shared" si="25"/>
        <v>204547</v>
      </c>
      <c r="T125" s="11">
        <f t="shared" si="25"/>
        <v>209906</v>
      </c>
      <c r="U125" s="11">
        <f t="shared" si="25"/>
        <v>209664</v>
      </c>
    </row>
    <row r="126" spans="2:21" x14ac:dyDescent="0.25">
      <c r="B126" t="s">
        <v>13</v>
      </c>
      <c r="C126" t="s">
        <v>13</v>
      </c>
      <c r="F126" s="11">
        <f t="shared" si="24"/>
        <v>4087</v>
      </c>
      <c r="G126" s="11">
        <f t="shared" si="24"/>
        <v>9901</v>
      </c>
      <c r="H126" s="11">
        <f t="shared" si="24"/>
        <v>5616</v>
      </c>
      <c r="I126" s="11">
        <f t="shared" si="24"/>
        <v>3000</v>
      </c>
      <c r="J126" s="11">
        <f t="shared" si="24"/>
        <v>13391</v>
      </c>
      <c r="K126" s="11">
        <f t="shared" si="24"/>
        <v>3969</v>
      </c>
      <c r="L126" s="11">
        <f t="shared" si="24"/>
        <v>3000</v>
      </c>
      <c r="M126" s="11">
        <f t="shared" si="24"/>
        <v>3000</v>
      </c>
      <c r="N126" s="11">
        <f t="shared" si="24"/>
        <v>6430</v>
      </c>
      <c r="O126" s="11">
        <f t="shared" si="24"/>
        <v>4092</v>
      </c>
      <c r="P126" s="11">
        <f t="shared" si="24"/>
        <v>9873</v>
      </c>
      <c r="Q126" s="11">
        <f t="shared" si="24"/>
        <v>3000</v>
      </c>
      <c r="R126" s="11"/>
      <c r="S126" s="11">
        <f t="shared" si="25"/>
        <v>69359</v>
      </c>
      <c r="T126" s="11">
        <f t="shared" si="25"/>
        <v>58790</v>
      </c>
      <c r="U126" s="11">
        <f t="shared" si="25"/>
        <v>67860</v>
      </c>
    </row>
    <row r="127" spans="2:21" x14ac:dyDescent="0.25">
      <c r="C127" s="2" t="s">
        <v>196</v>
      </c>
      <c r="F127" s="46">
        <f t="shared" ref="F127:Q127" si="26">+SUM(F116:F126)</f>
        <v>396248</v>
      </c>
      <c r="G127" s="46">
        <f t="shared" si="26"/>
        <v>414961</v>
      </c>
      <c r="H127" s="46">
        <f t="shared" si="26"/>
        <v>411841</v>
      </c>
      <c r="I127" s="46">
        <f t="shared" si="26"/>
        <v>402092</v>
      </c>
      <c r="J127" s="46">
        <f t="shared" si="26"/>
        <v>431295</v>
      </c>
      <c r="K127" s="46">
        <f t="shared" si="26"/>
        <v>420291</v>
      </c>
      <c r="L127" s="46">
        <f t="shared" si="26"/>
        <v>422160</v>
      </c>
      <c r="M127" s="46">
        <f t="shared" si="26"/>
        <v>422829</v>
      </c>
      <c r="N127" s="46">
        <f t="shared" si="26"/>
        <v>428520</v>
      </c>
      <c r="O127" s="46">
        <f t="shared" si="26"/>
        <v>420302</v>
      </c>
      <c r="P127" s="46">
        <f t="shared" si="26"/>
        <v>437636</v>
      </c>
      <c r="Q127" s="46">
        <f t="shared" si="26"/>
        <v>433334</v>
      </c>
      <c r="R127" s="46"/>
      <c r="S127" s="46">
        <f>+SUM(S116:S126)</f>
        <v>5041509</v>
      </c>
      <c r="T127" s="46">
        <f>+SUM(T116:T126)</f>
        <v>5129562</v>
      </c>
      <c r="U127" s="46">
        <f>+SUM(U116:U126)</f>
        <v>5165088</v>
      </c>
    </row>
    <row r="128" spans="2:21" x14ac:dyDescent="0.25"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2:21" x14ac:dyDescent="0.25">
      <c r="B129" s="2" t="s">
        <v>69</v>
      </c>
      <c r="F129" s="44">
        <f>F127-'AR Historical Financials'!E26</f>
        <v>0</v>
      </c>
      <c r="G129" s="44">
        <f>G127-'AR Historical Financials'!F26</f>
        <v>0</v>
      </c>
      <c r="H129" s="44">
        <f>H127-'AR Historical Financials'!G26</f>
        <v>0</v>
      </c>
      <c r="I129" s="44">
        <f>I127-'AR Historical Financials'!H26</f>
        <v>0</v>
      </c>
      <c r="J129" s="44">
        <f>J127-'AR Historical Financials'!I26</f>
        <v>0</v>
      </c>
      <c r="K129" s="44">
        <f>K127-'AR Historical Financials'!J26</f>
        <v>0</v>
      </c>
      <c r="L129" s="44">
        <f>L127-'AR Historical Financials'!K26</f>
        <v>0</v>
      </c>
      <c r="M129" s="44">
        <f>M127-'AR Historical Financials'!L26</f>
        <v>0</v>
      </c>
      <c r="N129" s="44">
        <f>N127-'AR Historical Financials'!M26</f>
        <v>0</v>
      </c>
      <c r="O129" s="44">
        <f>O127-'AR Historical Financials'!N26</f>
        <v>0</v>
      </c>
      <c r="P129" s="44">
        <f>P127-'AR Historical Financials'!O26</f>
        <v>0</v>
      </c>
      <c r="Q129" s="44">
        <f>Q127-'AR Historical Financials'!P26</f>
        <v>0</v>
      </c>
      <c r="R129" s="43"/>
      <c r="S129" s="44">
        <f>S127-'AR Historical Financials'!Q26</f>
        <v>0</v>
      </c>
      <c r="T129" s="43"/>
      <c r="U129" s="43"/>
    </row>
    <row r="130" spans="2:21" x14ac:dyDescent="0.25"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2:21" x14ac:dyDescent="0.25">
      <c r="B131" t="s">
        <v>94</v>
      </c>
      <c r="C131" t="s">
        <v>89</v>
      </c>
      <c r="F131" s="11">
        <f t="shared" ref="F131:Q139" si="27">+SUMIFS(F$25:F$113,$B$25:$B$113,$C131)</f>
        <v>29572</v>
      </c>
      <c r="G131" s="11">
        <f t="shared" si="27"/>
        <v>29295</v>
      </c>
      <c r="H131" s="11">
        <f t="shared" si="27"/>
        <v>29378</v>
      </c>
      <c r="I131" s="11">
        <f t="shared" si="27"/>
        <v>29730</v>
      </c>
      <c r="J131" s="11">
        <f t="shared" si="27"/>
        <v>29967</v>
      </c>
      <c r="K131" s="11">
        <f t="shared" si="27"/>
        <v>29829</v>
      </c>
      <c r="L131" s="11">
        <f t="shared" si="27"/>
        <v>29467</v>
      </c>
      <c r="M131" s="11">
        <f t="shared" si="27"/>
        <v>29277</v>
      </c>
      <c r="N131" s="11">
        <f t="shared" si="27"/>
        <v>29466</v>
      </c>
      <c r="O131" s="11">
        <f t="shared" si="27"/>
        <v>29828</v>
      </c>
      <c r="P131" s="11">
        <f t="shared" si="27"/>
        <v>29966</v>
      </c>
      <c r="Q131" s="11">
        <f t="shared" si="27"/>
        <v>29731</v>
      </c>
      <c r="R131" s="11"/>
      <c r="S131" s="11">
        <f t="shared" ref="S131:U139" si="28">IFERROR(SUMIFS($E131:$Q131,$E$5:$Q$5,"&gt;="&amp;S$4,$E$5:$Q$5,"&lt;="&amp;S$5),0)*S$2</f>
        <v>355506</v>
      </c>
      <c r="T131" s="11">
        <f t="shared" si="28"/>
        <v>355470</v>
      </c>
      <c r="U131" s="11">
        <f t="shared" si="28"/>
        <v>358100</v>
      </c>
    </row>
    <row r="132" spans="2:21" x14ac:dyDescent="0.25">
      <c r="B132" t="s">
        <v>160</v>
      </c>
      <c r="C132" t="s">
        <v>96</v>
      </c>
      <c r="F132" s="11">
        <f t="shared" si="27"/>
        <v>6209</v>
      </c>
      <c r="G132" s="11">
        <f t="shared" si="27"/>
        <v>6286</v>
      </c>
      <c r="H132" s="11">
        <f t="shared" si="27"/>
        <v>6331</v>
      </c>
      <c r="I132" s="11">
        <f t="shared" si="27"/>
        <v>6294</v>
      </c>
      <c r="J132" s="11">
        <f t="shared" si="27"/>
        <v>6215</v>
      </c>
      <c r="K132" s="11">
        <f t="shared" si="27"/>
        <v>6181</v>
      </c>
      <c r="L132" s="11">
        <f t="shared" si="27"/>
        <v>6229</v>
      </c>
      <c r="M132" s="11">
        <f t="shared" si="27"/>
        <v>6306</v>
      </c>
      <c r="N132" s="11">
        <f t="shared" si="27"/>
        <v>6328</v>
      </c>
      <c r="O132" s="11">
        <f t="shared" si="27"/>
        <v>6271</v>
      </c>
      <c r="P132" s="11">
        <f t="shared" si="27"/>
        <v>6198</v>
      </c>
      <c r="Q132" s="11">
        <f t="shared" si="27"/>
        <v>6187</v>
      </c>
      <c r="R132" s="11"/>
      <c r="S132" s="11">
        <f t="shared" si="28"/>
        <v>75035</v>
      </c>
      <c r="T132" s="11">
        <f t="shared" si="28"/>
        <v>75038</v>
      </c>
      <c r="U132" s="11">
        <f t="shared" si="28"/>
        <v>74624</v>
      </c>
    </row>
    <row r="133" spans="2:21" x14ac:dyDescent="0.25">
      <c r="B133" t="s">
        <v>102</v>
      </c>
      <c r="C133" t="s">
        <v>98</v>
      </c>
      <c r="F133" s="11">
        <f t="shared" si="27"/>
        <v>68373</v>
      </c>
      <c r="G133" s="11">
        <f t="shared" si="27"/>
        <v>67917</v>
      </c>
      <c r="H133" s="11">
        <f t="shared" si="27"/>
        <v>67137</v>
      </c>
      <c r="I133" s="11">
        <f t="shared" si="27"/>
        <v>66884</v>
      </c>
      <c r="J133" s="11">
        <f t="shared" si="27"/>
        <v>67437</v>
      </c>
      <c r="K133" s="11">
        <f t="shared" si="27"/>
        <v>68189</v>
      </c>
      <c r="L133" s="11">
        <f t="shared" si="27"/>
        <v>68320</v>
      </c>
      <c r="M133" s="11">
        <f t="shared" si="27"/>
        <v>67686</v>
      </c>
      <c r="N133" s="11">
        <f t="shared" si="27"/>
        <v>66980</v>
      </c>
      <c r="O133" s="11">
        <f t="shared" si="27"/>
        <v>66974</v>
      </c>
      <c r="P133" s="11">
        <f t="shared" si="27"/>
        <v>67673</v>
      </c>
      <c r="Q133" s="11">
        <f t="shared" si="27"/>
        <v>68315</v>
      </c>
      <c r="R133" s="11"/>
      <c r="S133" s="11">
        <f t="shared" si="28"/>
        <v>811885</v>
      </c>
      <c r="T133" s="11">
        <f t="shared" si="28"/>
        <v>811896</v>
      </c>
      <c r="U133" s="11">
        <f t="shared" si="28"/>
        <v>811848</v>
      </c>
    </row>
    <row r="134" spans="2:21" x14ac:dyDescent="0.25">
      <c r="B134" t="s">
        <v>106</v>
      </c>
      <c r="C134" t="s">
        <v>104</v>
      </c>
      <c r="F134" s="11">
        <f t="shared" si="27"/>
        <v>8912</v>
      </c>
      <c r="G134" s="11">
        <f t="shared" si="27"/>
        <v>8996</v>
      </c>
      <c r="H134" s="11">
        <f t="shared" si="27"/>
        <v>9102</v>
      </c>
      <c r="I134" s="11">
        <f t="shared" si="27"/>
        <v>9114</v>
      </c>
      <c r="J134" s="11">
        <f t="shared" si="27"/>
        <v>9019</v>
      </c>
      <c r="K134" s="11">
        <f t="shared" si="27"/>
        <v>8921</v>
      </c>
      <c r="L134" s="11">
        <f t="shared" si="27"/>
        <v>8927</v>
      </c>
      <c r="M134" s="11">
        <f t="shared" si="27"/>
        <v>9030</v>
      </c>
      <c r="N134" s="11">
        <f t="shared" si="27"/>
        <v>9118</v>
      </c>
      <c r="O134" s="11">
        <f t="shared" si="27"/>
        <v>9094</v>
      </c>
      <c r="P134" s="11">
        <f t="shared" si="27"/>
        <v>8985</v>
      </c>
      <c r="Q134" s="11">
        <f t="shared" si="27"/>
        <v>8910</v>
      </c>
      <c r="R134" s="11"/>
      <c r="S134" s="11">
        <f t="shared" si="28"/>
        <v>108128</v>
      </c>
      <c r="T134" s="11">
        <f t="shared" si="28"/>
        <v>108128</v>
      </c>
      <c r="U134" s="11">
        <f t="shared" si="28"/>
        <v>107956</v>
      </c>
    </row>
    <row r="135" spans="2:21" x14ac:dyDescent="0.25">
      <c r="B135" t="s">
        <v>115</v>
      </c>
      <c r="C135" t="s">
        <v>113</v>
      </c>
      <c r="F135" s="11">
        <f t="shared" si="27"/>
        <v>12278</v>
      </c>
      <c r="G135" s="11">
        <f t="shared" si="27"/>
        <v>12315</v>
      </c>
      <c r="H135" s="11">
        <f t="shared" si="27"/>
        <v>12466</v>
      </c>
      <c r="I135" s="11">
        <f t="shared" si="27"/>
        <v>12567</v>
      </c>
      <c r="J135" s="11">
        <f t="shared" si="27"/>
        <v>12507</v>
      </c>
      <c r="K135" s="11">
        <f t="shared" si="27"/>
        <v>12352</v>
      </c>
      <c r="L135" s="11">
        <f t="shared" si="27"/>
        <v>12271</v>
      </c>
      <c r="M135" s="11">
        <f t="shared" si="27"/>
        <v>12353</v>
      </c>
      <c r="N135" s="11">
        <f t="shared" si="27"/>
        <v>12508</v>
      </c>
      <c r="O135" s="11">
        <f t="shared" si="27"/>
        <v>12567</v>
      </c>
      <c r="P135" s="11">
        <f t="shared" si="27"/>
        <v>12465</v>
      </c>
      <c r="Q135" s="11">
        <f t="shared" si="27"/>
        <v>12314</v>
      </c>
      <c r="R135" s="11"/>
      <c r="S135" s="11">
        <f t="shared" si="28"/>
        <v>148963</v>
      </c>
      <c r="T135" s="11">
        <f t="shared" si="28"/>
        <v>148956</v>
      </c>
      <c r="U135" s="11">
        <f t="shared" si="28"/>
        <v>149384</v>
      </c>
    </row>
    <row r="136" spans="2:21" x14ac:dyDescent="0.25">
      <c r="B136" t="s">
        <v>119</v>
      </c>
      <c r="C136" t="s">
        <v>117</v>
      </c>
      <c r="F136" s="11">
        <f t="shared" si="27"/>
        <v>7075</v>
      </c>
      <c r="G136" s="11">
        <f t="shared" si="27"/>
        <v>7019</v>
      </c>
      <c r="H136" s="11">
        <f t="shared" si="27"/>
        <v>6933</v>
      </c>
      <c r="I136" s="11">
        <f t="shared" si="27"/>
        <v>6912</v>
      </c>
      <c r="J136" s="11">
        <f t="shared" si="27"/>
        <v>6978</v>
      </c>
      <c r="K136" s="11">
        <f t="shared" si="27"/>
        <v>7059</v>
      </c>
      <c r="L136" s="11">
        <f t="shared" si="27"/>
        <v>7067</v>
      </c>
      <c r="M136" s="11">
        <f t="shared" si="27"/>
        <v>6993</v>
      </c>
      <c r="N136" s="11">
        <f t="shared" si="27"/>
        <v>6918</v>
      </c>
      <c r="O136" s="11">
        <f t="shared" si="27"/>
        <v>6924</v>
      </c>
      <c r="P136" s="11">
        <f t="shared" si="27"/>
        <v>7005</v>
      </c>
      <c r="Q136" s="11">
        <f t="shared" si="27"/>
        <v>7072</v>
      </c>
      <c r="R136" s="11"/>
      <c r="S136" s="11">
        <f t="shared" si="28"/>
        <v>83955</v>
      </c>
      <c r="T136" s="11">
        <f t="shared" si="28"/>
        <v>83958</v>
      </c>
      <c r="U136" s="11">
        <f t="shared" si="28"/>
        <v>84004</v>
      </c>
    </row>
    <row r="137" spans="2:21" x14ac:dyDescent="0.25">
      <c r="B137" t="s">
        <v>128</v>
      </c>
      <c r="C137" t="s">
        <v>121</v>
      </c>
      <c r="F137" s="11">
        <f t="shared" si="27"/>
        <v>21274</v>
      </c>
      <c r="G137" s="11">
        <f t="shared" si="27"/>
        <v>21380</v>
      </c>
      <c r="H137" s="11">
        <f t="shared" si="27"/>
        <v>21244</v>
      </c>
      <c r="I137" s="11">
        <f t="shared" si="27"/>
        <v>21017</v>
      </c>
      <c r="J137" s="11">
        <f t="shared" si="27"/>
        <v>20945</v>
      </c>
      <c r="K137" s="11">
        <f t="shared" si="27"/>
        <v>21108</v>
      </c>
      <c r="L137" s="11">
        <f t="shared" si="27"/>
        <v>21328</v>
      </c>
      <c r="M137" s="11">
        <f t="shared" si="27"/>
        <v>21364</v>
      </c>
      <c r="N137" s="11">
        <f t="shared" si="27"/>
        <v>21178</v>
      </c>
      <c r="O137" s="11">
        <f t="shared" si="27"/>
        <v>20971</v>
      </c>
      <c r="P137" s="11">
        <f t="shared" si="27"/>
        <v>20972</v>
      </c>
      <c r="Q137" s="11">
        <f t="shared" si="27"/>
        <v>21178</v>
      </c>
      <c r="R137" s="11"/>
      <c r="S137" s="11">
        <f t="shared" si="28"/>
        <v>253959</v>
      </c>
      <c r="T137" s="11">
        <f t="shared" si="28"/>
        <v>253982</v>
      </c>
      <c r="U137" s="11">
        <f t="shared" si="28"/>
        <v>252484</v>
      </c>
    </row>
    <row r="138" spans="2:21" x14ac:dyDescent="0.25">
      <c r="B138" t="s">
        <v>119</v>
      </c>
      <c r="C138" t="s">
        <v>145</v>
      </c>
      <c r="F138" s="11">
        <f t="shared" si="27"/>
        <v>0</v>
      </c>
      <c r="G138" s="11">
        <f t="shared" si="27"/>
        <v>0</v>
      </c>
      <c r="H138" s="11">
        <f t="shared" si="27"/>
        <v>0</v>
      </c>
      <c r="I138" s="11">
        <f t="shared" si="27"/>
        <v>0</v>
      </c>
      <c r="J138" s="11">
        <f t="shared" si="27"/>
        <v>0</v>
      </c>
      <c r="K138" s="11">
        <f t="shared" si="27"/>
        <v>0</v>
      </c>
      <c r="L138" s="11">
        <f t="shared" si="27"/>
        <v>0</v>
      </c>
      <c r="M138" s="11">
        <f t="shared" si="27"/>
        <v>0</v>
      </c>
      <c r="N138" s="11">
        <f t="shared" si="27"/>
        <v>0</v>
      </c>
      <c r="O138" s="11">
        <f t="shared" si="27"/>
        <v>0</v>
      </c>
      <c r="P138" s="11">
        <f t="shared" si="27"/>
        <v>0</v>
      </c>
      <c r="Q138" s="11">
        <f t="shared" si="27"/>
        <v>0</v>
      </c>
      <c r="R138" s="11"/>
      <c r="S138" s="11">
        <f t="shared" si="28"/>
        <v>0</v>
      </c>
      <c r="T138" s="11">
        <f t="shared" si="28"/>
        <v>0</v>
      </c>
      <c r="U138" s="11">
        <f t="shared" si="28"/>
        <v>0</v>
      </c>
    </row>
    <row r="139" spans="2:21" x14ac:dyDescent="0.25">
      <c r="B139" t="s">
        <v>128</v>
      </c>
      <c r="C139" t="s">
        <v>146</v>
      </c>
      <c r="F139" s="11">
        <f t="shared" si="27"/>
        <v>0</v>
      </c>
      <c r="G139" s="11">
        <f t="shared" si="27"/>
        <v>0</v>
      </c>
      <c r="H139" s="11">
        <f t="shared" si="27"/>
        <v>0</v>
      </c>
      <c r="I139" s="11">
        <f t="shared" si="27"/>
        <v>0</v>
      </c>
      <c r="J139" s="11">
        <f t="shared" si="27"/>
        <v>0</v>
      </c>
      <c r="K139" s="11">
        <f t="shared" si="27"/>
        <v>0</v>
      </c>
      <c r="L139" s="11">
        <f t="shared" si="27"/>
        <v>0</v>
      </c>
      <c r="M139" s="11">
        <f t="shared" si="27"/>
        <v>0</v>
      </c>
      <c r="N139" s="11">
        <f t="shared" si="27"/>
        <v>0</v>
      </c>
      <c r="O139" s="11">
        <f t="shared" si="27"/>
        <v>0</v>
      </c>
      <c r="P139" s="11">
        <f t="shared" si="27"/>
        <v>0</v>
      </c>
      <c r="Q139" s="11">
        <f t="shared" si="27"/>
        <v>0</v>
      </c>
      <c r="R139" s="11"/>
      <c r="S139" s="11">
        <f t="shared" si="28"/>
        <v>0</v>
      </c>
      <c r="T139" s="11">
        <f t="shared" si="28"/>
        <v>0</v>
      </c>
      <c r="U139" s="11">
        <f t="shared" si="28"/>
        <v>0</v>
      </c>
    </row>
    <row r="140" spans="2:21" x14ac:dyDescent="0.25">
      <c r="C140" s="2" t="s">
        <v>197</v>
      </c>
      <c r="F140" s="45">
        <f t="shared" ref="F140:Q140" si="29">+SUM(F131:F139)</f>
        <v>153693</v>
      </c>
      <c r="G140" s="45">
        <f t="shared" si="29"/>
        <v>153208</v>
      </c>
      <c r="H140" s="45">
        <f t="shared" si="29"/>
        <v>152591</v>
      </c>
      <c r="I140" s="45">
        <f t="shared" si="29"/>
        <v>152518</v>
      </c>
      <c r="J140" s="45">
        <f t="shared" si="29"/>
        <v>153068</v>
      </c>
      <c r="K140" s="45">
        <f t="shared" si="29"/>
        <v>153639</v>
      </c>
      <c r="L140" s="45">
        <f t="shared" si="29"/>
        <v>153609</v>
      </c>
      <c r="M140" s="45">
        <f t="shared" si="29"/>
        <v>153009</v>
      </c>
      <c r="N140" s="45">
        <f t="shared" si="29"/>
        <v>152496</v>
      </c>
      <c r="O140" s="45">
        <f t="shared" si="29"/>
        <v>152629</v>
      </c>
      <c r="P140" s="45">
        <f t="shared" si="29"/>
        <v>153264</v>
      </c>
      <c r="Q140" s="45">
        <f t="shared" si="29"/>
        <v>153707</v>
      </c>
      <c r="R140" s="45"/>
      <c r="S140" s="45">
        <f>+SUM(S131:S139)</f>
        <v>1837431</v>
      </c>
      <c r="T140" s="45">
        <f>+SUM(T131:T139)</f>
        <v>1837428</v>
      </c>
      <c r="U140" s="45">
        <f>+SUM(U131:U139)</f>
        <v>1838400</v>
      </c>
    </row>
    <row r="141" spans="2:21" x14ac:dyDescent="0.25"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2:21" x14ac:dyDescent="0.25">
      <c r="B142" t="s">
        <v>94</v>
      </c>
      <c r="C142" t="s">
        <v>149</v>
      </c>
      <c r="F142" s="11">
        <f t="shared" ref="F142:Q148" si="30">+SUMIFS(F$25:F$113,$B$25:$B$113,$C142)</f>
        <v>0</v>
      </c>
      <c r="G142" s="11">
        <f t="shared" si="30"/>
        <v>0</v>
      </c>
      <c r="H142" s="11">
        <f t="shared" si="30"/>
        <v>0</v>
      </c>
      <c r="I142" s="11">
        <f t="shared" si="30"/>
        <v>0</v>
      </c>
      <c r="J142" s="11">
        <f t="shared" si="30"/>
        <v>0</v>
      </c>
      <c r="K142" s="11">
        <f t="shared" si="30"/>
        <v>0</v>
      </c>
      <c r="L142" s="11">
        <f t="shared" si="30"/>
        <v>0</v>
      </c>
      <c r="M142" s="11">
        <f t="shared" si="30"/>
        <v>0</v>
      </c>
      <c r="N142" s="11">
        <f t="shared" si="30"/>
        <v>0</v>
      </c>
      <c r="O142" s="11">
        <f t="shared" si="30"/>
        <v>0</v>
      </c>
      <c r="P142" s="11">
        <f t="shared" si="30"/>
        <v>0</v>
      </c>
      <c r="Q142" s="11">
        <f t="shared" si="30"/>
        <v>0</v>
      </c>
      <c r="R142" s="11"/>
      <c r="S142" s="11">
        <f t="shared" ref="S142:U148" si="31">IFERROR(SUMIFS($E142:$Q142,$E$5:$Q$5,"&gt;="&amp;S$4,$E$5:$Q$5,"&lt;="&amp;S$5),0)*S$2</f>
        <v>0</v>
      </c>
      <c r="T142" s="11">
        <f t="shared" si="31"/>
        <v>0</v>
      </c>
      <c r="U142" s="11">
        <f t="shared" si="31"/>
        <v>0</v>
      </c>
    </row>
    <row r="143" spans="2:21" x14ac:dyDescent="0.25">
      <c r="B143" t="s">
        <v>160</v>
      </c>
      <c r="C143" t="s">
        <v>150</v>
      </c>
      <c r="F143" s="11">
        <f t="shared" si="30"/>
        <v>0</v>
      </c>
      <c r="G143" s="11">
        <f t="shared" si="30"/>
        <v>0</v>
      </c>
      <c r="H143" s="11">
        <f t="shared" si="30"/>
        <v>0</v>
      </c>
      <c r="I143" s="11">
        <f t="shared" si="30"/>
        <v>0</v>
      </c>
      <c r="J143" s="11">
        <f t="shared" si="30"/>
        <v>0</v>
      </c>
      <c r="K143" s="11">
        <f t="shared" si="30"/>
        <v>0</v>
      </c>
      <c r="L143" s="11">
        <f t="shared" si="30"/>
        <v>0</v>
      </c>
      <c r="M143" s="11">
        <f t="shared" si="30"/>
        <v>0</v>
      </c>
      <c r="N143" s="11">
        <f t="shared" si="30"/>
        <v>0</v>
      </c>
      <c r="O143" s="11">
        <f t="shared" si="30"/>
        <v>0</v>
      </c>
      <c r="P143" s="11">
        <f t="shared" si="30"/>
        <v>0</v>
      </c>
      <c r="Q143" s="11">
        <f t="shared" si="30"/>
        <v>0</v>
      </c>
      <c r="R143" s="11"/>
      <c r="S143" s="11">
        <f t="shared" si="31"/>
        <v>0</v>
      </c>
      <c r="T143" s="11">
        <f t="shared" si="31"/>
        <v>0</v>
      </c>
      <c r="U143" s="11">
        <f t="shared" si="31"/>
        <v>0</v>
      </c>
    </row>
    <row r="144" spans="2:21" x14ac:dyDescent="0.25">
      <c r="B144" t="s">
        <v>102</v>
      </c>
      <c r="C144" t="s">
        <v>152</v>
      </c>
      <c r="F144" s="11">
        <f t="shared" si="30"/>
        <v>0</v>
      </c>
      <c r="G144" s="11">
        <f t="shared" si="30"/>
        <v>0</v>
      </c>
      <c r="H144" s="11">
        <f t="shared" si="30"/>
        <v>0</v>
      </c>
      <c r="I144" s="11">
        <f t="shared" si="30"/>
        <v>0</v>
      </c>
      <c r="J144" s="11">
        <f t="shared" si="30"/>
        <v>0</v>
      </c>
      <c r="K144" s="11">
        <f t="shared" si="30"/>
        <v>0</v>
      </c>
      <c r="L144" s="11">
        <f t="shared" si="30"/>
        <v>0</v>
      </c>
      <c r="M144" s="11">
        <f t="shared" si="30"/>
        <v>0</v>
      </c>
      <c r="N144" s="11">
        <f t="shared" si="30"/>
        <v>0</v>
      </c>
      <c r="O144" s="11">
        <f t="shared" si="30"/>
        <v>0</v>
      </c>
      <c r="P144" s="11">
        <f t="shared" si="30"/>
        <v>0</v>
      </c>
      <c r="Q144" s="11">
        <f t="shared" si="30"/>
        <v>0</v>
      </c>
      <c r="R144" s="11"/>
      <c r="S144" s="11">
        <f t="shared" si="31"/>
        <v>0</v>
      </c>
      <c r="T144" s="11">
        <f t="shared" si="31"/>
        <v>0</v>
      </c>
      <c r="U144" s="11">
        <f t="shared" si="31"/>
        <v>0</v>
      </c>
    </row>
    <row r="145" spans="2:21" x14ac:dyDescent="0.25">
      <c r="B145" t="s">
        <v>106</v>
      </c>
      <c r="C145" t="s">
        <v>147</v>
      </c>
      <c r="F145" s="11">
        <f t="shared" si="30"/>
        <v>0</v>
      </c>
      <c r="G145" s="11">
        <f t="shared" si="30"/>
        <v>0</v>
      </c>
      <c r="H145" s="11">
        <f t="shared" si="30"/>
        <v>0</v>
      </c>
      <c r="I145" s="11">
        <f t="shared" si="30"/>
        <v>0</v>
      </c>
      <c r="J145" s="11">
        <f t="shared" si="30"/>
        <v>0</v>
      </c>
      <c r="K145" s="11">
        <f t="shared" si="30"/>
        <v>0</v>
      </c>
      <c r="L145" s="11">
        <f t="shared" si="30"/>
        <v>0</v>
      </c>
      <c r="M145" s="11">
        <f t="shared" si="30"/>
        <v>0</v>
      </c>
      <c r="N145" s="11">
        <f t="shared" si="30"/>
        <v>0</v>
      </c>
      <c r="O145" s="11">
        <f t="shared" si="30"/>
        <v>0</v>
      </c>
      <c r="P145" s="11">
        <f t="shared" si="30"/>
        <v>0</v>
      </c>
      <c r="Q145" s="11">
        <f t="shared" si="30"/>
        <v>0</v>
      </c>
      <c r="R145" s="11"/>
      <c r="S145" s="11">
        <f t="shared" si="31"/>
        <v>0</v>
      </c>
      <c r="T145" s="11">
        <f t="shared" si="31"/>
        <v>0</v>
      </c>
      <c r="U145" s="11">
        <f t="shared" si="31"/>
        <v>0</v>
      </c>
    </row>
    <row r="146" spans="2:21" x14ac:dyDescent="0.25">
      <c r="B146" t="s">
        <v>115</v>
      </c>
      <c r="C146" t="s">
        <v>153</v>
      </c>
      <c r="F146" s="11">
        <f t="shared" si="30"/>
        <v>0</v>
      </c>
      <c r="G146" s="11">
        <f t="shared" si="30"/>
        <v>0</v>
      </c>
      <c r="H146" s="11">
        <f t="shared" si="30"/>
        <v>0</v>
      </c>
      <c r="I146" s="11">
        <f t="shared" si="30"/>
        <v>0</v>
      </c>
      <c r="J146" s="11">
        <f t="shared" si="30"/>
        <v>0</v>
      </c>
      <c r="K146" s="11">
        <f t="shared" si="30"/>
        <v>0</v>
      </c>
      <c r="L146" s="11">
        <f t="shared" si="30"/>
        <v>0</v>
      </c>
      <c r="M146" s="11">
        <f t="shared" si="30"/>
        <v>0</v>
      </c>
      <c r="N146" s="11">
        <f t="shared" si="30"/>
        <v>0</v>
      </c>
      <c r="O146" s="11">
        <f t="shared" si="30"/>
        <v>0</v>
      </c>
      <c r="P146" s="11">
        <f t="shared" si="30"/>
        <v>0</v>
      </c>
      <c r="Q146" s="11">
        <f t="shared" si="30"/>
        <v>0</v>
      </c>
      <c r="R146" s="11"/>
      <c r="S146" s="11">
        <f t="shared" si="31"/>
        <v>0</v>
      </c>
      <c r="T146" s="11">
        <f t="shared" si="31"/>
        <v>0</v>
      </c>
      <c r="U146" s="11">
        <f t="shared" si="31"/>
        <v>0</v>
      </c>
    </row>
    <row r="147" spans="2:21" x14ac:dyDescent="0.25">
      <c r="B147" t="s">
        <v>119</v>
      </c>
      <c r="C147" t="s">
        <v>148</v>
      </c>
      <c r="F147" s="11">
        <f t="shared" si="30"/>
        <v>0</v>
      </c>
      <c r="G147" s="11">
        <f t="shared" si="30"/>
        <v>0</v>
      </c>
      <c r="H147" s="11">
        <f t="shared" si="30"/>
        <v>0</v>
      </c>
      <c r="I147" s="11">
        <f t="shared" si="30"/>
        <v>0</v>
      </c>
      <c r="J147" s="11">
        <f t="shared" si="30"/>
        <v>0</v>
      </c>
      <c r="K147" s="11">
        <f t="shared" si="30"/>
        <v>0</v>
      </c>
      <c r="L147" s="11">
        <f t="shared" si="30"/>
        <v>0</v>
      </c>
      <c r="M147" s="11">
        <f t="shared" si="30"/>
        <v>0</v>
      </c>
      <c r="N147" s="11">
        <f t="shared" si="30"/>
        <v>0</v>
      </c>
      <c r="O147" s="11">
        <f t="shared" si="30"/>
        <v>0</v>
      </c>
      <c r="P147" s="11">
        <f t="shared" si="30"/>
        <v>0</v>
      </c>
      <c r="Q147" s="11">
        <f t="shared" si="30"/>
        <v>0</v>
      </c>
      <c r="R147" s="11"/>
      <c r="S147" s="11">
        <f t="shared" si="31"/>
        <v>0</v>
      </c>
      <c r="T147" s="11">
        <f t="shared" si="31"/>
        <v>0</v>
      </c>
      <c r="U147" s="11">
        <f t="shared" si="31"/>
        <v>0</v>
      </c>
    </row>
    <row r="148" spans="2:21" x14ac:dyDescent="0.25">
      <c r="B148" t="s">
        <v>128</v>
      </c>
      <c r="C148" t="s">
        <v>151</v>
      </c>
      <c r="F148" s="11">
        <f t="shared" si="30"/>
        <v>0</v>
      </c>
      <c r="G148" s="11">
        <f t="shared" si="30"/>
        <v>0</v>
      </c>
      <c r="H148" s="11">
        <f t="shared" si="30"/>
        <v>0</v>
      </c>
      <c r="I148" s="11">
        <f t="shared" si="30"/>
        <v>0</v>
      </c>
      <c r="J148" s="11">
        <f t="shared" si="30"/>
        <v>0</v>
      </c>
      <c r="K148" s="11">
        <f t="shared" si="30"/>
        <v>0</v>
      </c>
      <c r="L148" s="11">
        <f t="shared" si="30"/>
        <v>0</v>
      </c>
      <c r="M148" s="11">
        <f t="shared" si="30"/>
        <v>0</v>
      </c>
      <c r="N148" s="11">
        <f t="shared" si="30"/>
        <v>0</v>
      </c>
      <c r="O148" s="11">
        <f t="shared" si="30"/>
        <v>0</v>
      </c>
      <c r="P148" s="11">
        <f t="shared" si="30"/>
        <v>0</v>
      </c>
      <c r="Q148" s="11">
        <f t="shared" si="30"/>
        <v>0</v>
      </c>
      <c r="R148" s="11"/>
      <c r="S148" s="11">
        <f t="shared" si="31"/>
        <v>0</v>
      </c>
      <c r="T148" s="11">
        <f t="shared" si="31"/>
        <v>0</v>
      </c>
      <c r="U148" s="11">
        <f t="shared" si="31"/>
        <v>0</v>
      </c>
    </row>
    <row r="149" spans="2:21" x14ac:dyDescent="0.25">
      <c r="C149" s="2" t="s">
        <v>198</v>
      </c>
      <c r="F149" s="45">
        <f t="shared" ref="F149:Q149" si="32">+SUM(F140:F148)</f>
        <v>153693</v>
      </c>
      <c r="G149" s="45">
        <f t="shared" si="32"/>
        <v>153208</v>
      </c>
      <c r="H149" s="45">
        <f t="shared" si="32"/>
        <v>152591</v>
      </c>
      <c r="I149" s="45">
        <f t="shared" si="32"/>
        <v>152518</v>
      </c>
      <c r="J149" s="45">
        <f t="shared" si="32"/>
        <v>153068</v>
      </c>
      <c r="K149" s="45">
        <f t="shared" si="32"/>
        <v>153639</v>
      </c>
      <c r="L149" s="45">
        <f t="shared" si="32"/>
        <v>153609</v>
      </c>
      <c r="M149" s="45">
        <f t="shared" si="32"/>
        <v>153009</v>
      </c>
      <c r="N149" s="45">
        <f t="shared" si="32"/>
        <v>152496</v>
      </c>
      <c r="O149" s="45">
        <f t="shared" si="32"/>
        <v>152629</v>
      </c>
      <c r="P149" s="45">
        <f t="shared" si="32"/>
        <v>153264</v>
      </c>
      <c r="Q149" s="45">
        <f t="shared" si="32"/>
        <v>153707</v>
      </c>
      <c r="R149" s="45"/>
      <c r="S149" s="45">
        <f>+SUM(S140:S148)</f>
        <v>1837431</v>
      </c>
      <c r="T149" s="45">
        <f>+SUM(T140:T148)</f>
        <v>1837428</v>
      </c>
      <c r="U149" s="45">
        <f>+SUM(U140:U148)</f>
        <v>1838400</v>
      </c>
    </row>
    <row r="150" spans="2:21" x14ac:dyDescent="0.25"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2:21" x14ac:dyDescent="0.25">
      <c r="B151" t="s">
        <v>94</v>
      </c>
      <c r="C151" t="s">
        <v>155</v>
      </c>
      <c r="F151" s="11">
        <f t="shared" ref="F151:Q157" si="33">+SUMIFS(F$25:F$113,$B$25:$B$113,$C151)</f>
        <v>0</v>
      </c>
      <c r="G151" s="11">
        <f t="shared" si="33"/>
        <v>0</v>
      </c>
      <c r="H151" s="11">
        <f t="shared" si="33"/>
        <v>0</v>
      </c>
      <c r="I151" s="11">
        <f t="shared" si="33"/>
        <v>0</v>
      </c>
      <c r="J151" s="11">
        <f t="shared" si="33"/>
        <v>0</v>
      </c>
      <c r="K151" s="11">
        <f t="shared" si="33"/>
        <v>0</v>
      </c>
      <c r="L151" s="11">
        <f t="shared" si="33"/>
        <v>0</v>
      </c>
      <c r="M151" s="11">
        <f t="shared" si="33"/>
        <v>0</v>
      </c>
      <c r="N151" s="11">
        <f t="shared" si="33"/>
        <v>0</v>
      </c>
      <c r="O151" s="11">
        <f t="shared" si="33"/>
        <v>0</v>
      </c>
      <c r="P151" s="11">
        <f t="shared" si="33"/>
        <v>0</v>
      </c>
      <c r="Q151" s="11">
        <f t="shared" si="33"/>
        <v>0</v>
      </c>
      <c r="R151" s="11"/>
      <c r="S151" s="11">
        <f t="shared" ref="S151:U157" si="34">IFERROR(SUMIFS($E151:$Q151,$E$5:$Q$5,"&gt;="&amp;S$4,$E$5:$Q$5,"&lt;="&amp;S$5),0)*S$2</f>
        <v>0</v>
      </c>
      <c r="T151" s="11">
        <f t="shared" si="34"/>
        <v>0</v>
      </c>
      <c r="U151" s="11">
        <f t="shared" si="34"/>
        <v>0</v>
      </c>
    </row>
    <row r="152" spans="2:21" x14ac:dyDescent="0.25">
      <c r="B152" t="s">
        <v>160</v>
      </c>
      <c r="C152" t="s">
        <v>154</v>
      </c>
      <c r="F152" s="11">
        <f t="shared" si="33"/>
        <v>0</v>
      </c>
      <c r="G152" s="11">
        <f t="shared" si="33"/>
        <v>0</v>
      </c>
      <c r="H152" s="11">
        <f t="shared" si="33"/>
        <v>0</v>
      </c>
      <c r="I152" s="11">
        <f t="shared" si="33"/>
        <v>0</v>
      </c>
      <c r="J152" s="11">
        <f t="shared" si="33"/>
        <v>0</v>
      </c>
      <c r="K152" s="11">
        <f t="shared" si="33"/>
        <v>0</v>
      </c>
      <c r="L152" s="11">
        <f t="shared" si="33"/>
        <v>0</v>
      </c>
      <c r="M152" s="11">
        <f t="shared" si="33"/>
        <v>0</v>
      </c>
      <c r="N152" s="11">
        <f t="shared" si="33"/>
        <v>0</v>
      </c>
      <c r="O152" s="11">
        <f t="shared" si="33"/>
        <v>0</v>
      </c>
      <c r="P152" s="11">
        <f t="shared" si="33"/>
        <v>0</v>
      </c>
      <c r="Q152" s="11">
        <f t="shared" si="33"/>
        <v>0</v>
      </c>
      <c r="R152" s="11"/>
      <c r="S152" s="11">
        <f t="shared" si="34"/>
        <v>0</v>
      </c>
      <c r="T152" s="11">
        <f t="shared" si="34"/>
        <v>0</v>
      </c>
      <c r="U152" s="11">
        <f t="shared" si="34"/>
        <v>0</v>
      </c>
    </row>
    <row r="153" spans="2:21" x14ac:dyDescent="0.25">
      <c r="B153" t="s">
        <v>102</v>
      </c>
      <c r="C153" t="s">
        <v>156</v>
      </c>
      <c r="F153" s="11">
        <f t="shared" si="33"/>
        <v>0</v>
      </c>
      <c r="G153" s="11">
        <f t="shared" si="33"/>
        <v>0</v>
      </c>
      <c r="H153" s="11">
        <f t="shared" si="33"/>
        <v>0</v>
      </c>
      <c r="I153" s="11">
        <f t="shared" si="33"/>
        <v>0</v>
      </c>
      <c r="J153" s="11">
        <f t="shared" si="33"/>
        <v>0</v>
      </c>
      <c r="K153" s="11">
        <f t="shared" si="33"/>
        <v>0</v>
      </c>
      <c r="L153" s="11">
        <f t="shared" si="33"/>
        <v>0</v>
      </c>
      <c r="M153" s="11">
        <f t="shared" si="33"/>
        <v>0</v>
      </c>
      <c r="N153" s="11">
        <f t="shared" si="33"/>
        <v>0</v>
      </c>
      <c r="O153" s="11">
        <f t="shared" si="33"/>
        <v>0</v>
      </c>
      <c r="P153" s="11">
        <f t="shared" si="33"/>
        <v>0</v>
      </c>
      <c r="Q153" s="11">
        <f t="shared" si="33"/>
        <v>0</v>
      </c>
      <c r="R153" s="11"/>
      <c r="S153" s="11">
        <f t="shared" si="34"/>
        <v>0</v>
      </c>
      <c r="T153" s="11">
        <f t="shared" si="34"/>
        <v>0</v>
      </c>
      <c r="U153" s="11">
        <f t="shared" si="34"/>
        <v>0</v>
      </c>
    </row>
    <row r="154" spans="2:21" x14ac:dyDescent="0.25">
      <c r="B154" t="s">
        <v>106</v>
      </c>
      <c r="C154" t="s">
        <v>159</v>
      </c>
      <c r="F154" s="11">
        <f t="shared" si="33"/>
        <v>0</v>
      </c>
      <c r="G154" s="11">
        <f t="shared" si="33"/>
        <v>0</v>
      </c>
      <c r="H154" s="11">
        <f t="shared" si="33"/>
        <v>0</v>
      </c>
      <c r="I154" s="11">
        <f t="shared" si="33"/>
        <v>0</v>
      </c>
      <c r="J154" s="11">
        <f t="shared" si="33"/>
        <v>0</v>
      </c>
      <c r="K154" s="11">
        <f t="shared" si="33"/>
        <v>0</v>
      </c>
      <c r="L154" s="11">
        <f t="shared" si="33"/>
        <v>0</v>
      </c>
      <c r="M154" s="11">
        <f t="shared" si="33"/>
        <v>0</v>
      </c>
      <c r="N154" s="11">
        <f t="shared" si="33"/>
        <v>0</v>
      </c>
      <c r="O154" s="11">
        <f t="shared" si="33"/>
        <v>0</v>
      </c>
      <c r="P154" s="11">
        <f t="shared" si="33"/>
        <v>0</v>
      </c>
      <c r="Q154" s="11">
        <f t="shared" si="33"/>
        <v>0</v>
      </c>
      <c r="R154" s="11"/>
      <c r="S154" s="11">
        <f t="shared" si="34"/>
        <v>0</v>
      </c>
      <c r="T154" s="11">
        <f t="shared" si="34"/>
        <v>0</v>
      </c>
      <c r="U154" s="11">
        <f t="shared" si="34"/>
        <v>0</v>
      </c>
    </row>
    <row r="155" spans="2:21" x14ac:dyDescent="0.25">
      <c r="B155" t="s">
        <v>115</v>
      </c>
      <c r="C155" t="s">
        <v>158</v>
      </c>
      <c r="F155" s="11">
        <f t="shared" si="33"/>
        <v>0</v>
      </c>
      <c r="G155" s="11">
        <f t="shared" si="33"/>
        <v>0</v>
      </c>
      <c r="H155" s="11">
        <f t="shared" si="33"/>
        <v>0</v>
      </c>
      <c r="I155" s="11">
        <f t="shared" si="33"/>
        <v>0</v>
      </c>
      <c r="J155" s="11">
        <f t="shared" si="33"/>
        <v>0</v>
      </c>
      <c r="K155" s="11">
        <f t="shared" si="33"/>
        <v>0</v>
      </c>
      <c r="L155" s="11">
        <f t="shared" si="33"/>
        <v>0</v>
      </c>
      <c r="M155" s="11">
        <f t="shared" si="33"/>
        <v>0</v>
      </c>
      <c r="N155" s="11">
        <f t="shared" si="33"/>
        <v>0</v>
      </c>
      <c r="O155" s="11">
        <f t="shared" si="33"/>
        <v>0</v>
      </c>
      <c r="P155" s="11">
        <f t="shared" si="33"/>
        <v>0</v>
      </c>
      <c r="Q155" s="11">
        <f t="shared" si="33"/>
        <v>0</v>
      </c>
      <c r="R155" s="11"/>
      <c r="S155" s="11">
        <f t="shared" si="34"/>
        <v>0</v>
      </c>
      <c r="T155" s="11">
        <f t="shared" si="34"/>
        <v>0</v>
      </c>
      <c r="U155" s="11">
        <f t="shared" si="34"/>
        <v>0</v>
      </c>
    </row>
    <row r="156" spans="2:21" x14ac:dyDescent="0.25">
      <c r="B156" t="s">
        <v>119</v>
      </c>
      <c r="C156" t="s">
        <v>157</v>
      </c>
      <c r="F156" s="11">
        <f t="shared" si="33"/>
        <v>0</v>
      </c>
      <c r="G156" s="11">
        <f t="shared" si="33"/>
        <v>0</v>
      </c>
      <c r="H156" s="11">
        <f t="shared" si="33"/>
        <v>0</v>
      </c>
      <c r="I156" s="11">
        <f t="shared" si="33"/>
        <v>0</v>
      </c>
      <c r="J156" s="11">
        <f t="shared" si="33"/>
        <v>0</v>
      </c>
      <c r="K156" s="11">
        <f t="shared" si="33"/>
        <v>0</v>
      </c>
      <c r="L156" s="11">
        <f t="shared" si="33"/>
        <v>0</v>
      </c>
      <c r="M156" s="11">
        <f t="shared" si="33"/>
        <v>0</v>
      </c>
      <c r="N156" s="11">
        <f t="shared" si="33"/>
        <v>0</v>
      </c>
      <c r="O156" s="11">
        <f t="shared" si="33"/>
        <v>0</v>
      </c>
      <c r="P156" s="11">
        <f t="shared" si="33"/>
        <v>0</v>
      </c>
      <c r="Q156" s="11">
        <f t="shared" si="33"/>
        <v>0</v>
      </c>
      <c r="R156" s="11"/>
      <c r="S156" s="11">
        <f t="shared" si="34"/>
        <v>0</v>
      </c>
      <c r="T156" s="11">
        <f t="shared" si="34"/>
        <v>0</v>
      </c>
      <c r="U156" s="11">
        <f t="shared" si="34"/>
        <v>0</v>
      </c>
    </row>
    <row r="157" spans="2:21" x14ac:dyDescent="0.25">
      <c r="B157" t="s">
        <v>128</v>
      </c>
      <c r="C157" t="s">
        <v>130</v>
      </c>
      <c r="F157" s="11">
        <f t="shared" si="33"/>
        <v>25897</v>
      </c>
      <c r="G157" s="11">
        <f t="shared" si="33"/>
        <v>25890</v>
      </c>
      <c r="H157" s="11">
        <f t="shared" si="33"/>
        <v>25817</v>
      </c>
      <c r="I157" s="11">
        <f t="shared" si="33"/>
        <v>25751</v>
      </c>
      <c r="J157" s="11">
        <f t="shared" si="33"/>
        <v>25726</v>
      </c>
      <c r="K157" s="11">
        <f t="shared" si="33"/>
        <v>25722</v>
      </c>
      <c r="L157" s="11">
        <f t="shared" si="33"/>
        <v>25707</v>
      </c>
      <c r="M157" s="11">
        <f t="shared" si="33"/>
        <v>25689</v>
      </c>
      <c r="N157" s="11">
        <f t="shared" si="33"/>
        <v>25713</v>
      </c>
      <c r="O157" s="11">
        <f t="shared" si="33"/>
        <v>25798</v>
      </c>
      <c r="P157" s="11">
        <f t="shared" si="33"/>
        <v>25895</v>
      </c>
      <c r="Q157" s="11">
        <f t="shared" si="33"/>
        <v>25922</v>
      </c>
      <c r="R157" s="11"/>
      <c r="S157" s="11">
        <f t="shared" si="34"/>
        <v>309527</v>
      </c>
      <c r="T157" s="11">
        <f t="shared" si="34"/>
        <v>309448</v>
      </c>
      <c r="U157" s="11">
        <f t="shared" si="34"/>
        <v>310460</v>
      </c>
    </row>
    <row r="158" spans="2:21" x14ac:dyDescent="0.25">
      <c r="C158" s="2" t="s">
        <v>199</v>
      </c>
      <c r="F158" s="45">
        <f t="shared" ref="F158:Q158" si="35">+SUM(F149:F157)</f>
        <v>179590</v>
      </c>
      <c r="G158" s="45">
        <f t="shared" si="35"/>
        <v>179098</v>
      </c>
      <c r="H158" s="45">
        <f t="shared" si="35"/>
        <v>178408</v>
      </c>
      <c r="I158" s="45">
        <f t="shared" si="35"/>
        <v>178269</v>
      </c>
      <c r="J158" s="45">
        <f t="shared" si="35"/>
        <v>178794</v>
      </c>
      <c r="K158" s="45">
        <f t="shared" si="35"/>
        <v>179361</v>
      </c>
      <c r="L158" s="45">
        <f t="shared" si="35"/>
        <v>179316</v>
      </c>
      <c r="M158" s="45">
        <f t="shared" si="35"/>
        <v>178698</v>
      </c>
      <c r="N158" s="45">
        <f t="shared" si="35"/>
        <v>178209</v>
      </c>
      <c r="O158" s="45">
        <f t="shared" si="35"/>
        <v>178427</v>
      </c>
      <c r="P158" s="45">
        <f t="shared" si="35"/>
        <v>179159</v>
      </c>
      <c r="Q158" s="45">
        <f t="shared" si="35"/>
        <v>179629</v>
      </c>
      <c r="R158" s="45"/>
      <c r="S158" s="45">
        <f>+SUM(S149:S157)</f>
        <v>2146958</v>
      </c>
      <c r="T158" s="45">
        <f>+SUM(T149:T157)</f>
        <v>2146876</v>
      </c>
      <c r="U158" s="45">
        <f>+SUM(U149:U157)</f>
        <v>2148860</v>
      </c>
    </row>
    <row r="159" spans="2:21" x14ac:dyDescent="0.25"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2:21" x14ac:dyDescent="0.25">
      <c r="B160" t="s">
        <v>94</v>
      </c>
      <c r="C160" t="s">
        <v>94</v>
      </c>
      <c r="F160" s="11">
        <f t="shared" ref="F160:Q169" si="36">+SUMIFS(F$25:F$113,$B$25:$B$113,$C160)</f>
        <v>2252</v>
      </c>
      <c r="G160" s="11">
        <f t="shared" si="36"/>
        <v>2234</v>
      </c>
      <c r="H160" s="11">
        <f t="shared" si="36"/>
        <v>2193</v>
      </c>
      <c r="I160" s="11">
        <f t="shared" si="36"/>
        <v>2165</v>
      </c>
      <c r="J160" s="11">
        <f t="shared" si="36"/>
        <v>2177</v>
      </c>
      <c r="K160" s="11">
        <f t="shared" si="36"/>
        <v>2217</v>
      </c>
      <c r="L160" s="11">
        <f t="shared" si="36"/>
        <v>2249</v>
      </c>
      <c r="M160" s="11">
        <f t="shared" si="36"/>
        <v>2243</v>
      </c>
      <c r="N160" s="11">
        <f t="shared" si="36"/>
        <v>2205</v>
      </c>
      <c r="O160" s="11">
        <f t="shared" si="36"/>
        <v>2169</v>
      </c>
      <c r="P160" s="11">
        <f t="shared" si="36"/>
        <v>2169</v>
      </c>
      <c r="Q160" s="11">
        <f t="shared" si="36"/>
        <v>2205</v>
      </c>
      <c r="R160" s="11"/>
      <c r="S160" s="11">
        <f t="shared" ref="S160:U186" si="37">IFERROR(SUMIFS($E160:$Q160,$E$5:$Q$5,"&gt;="&amp;S$4,$E$5:$Q$5,"&lt;="&amp;S$5),0)*S$2</f>
        <v>26478</v>
      </c>
      <c r="T160" s="11">
        <f t="shared" si="37"/>
        <v>26480</v>
      </c>
      <c r="U160" s="11">
        <f t="shared" si="37"/>
        <v>26172</v>
      </c>
    </row>
    <row r="161" spans="2:21" x14ac:dyDescent="0.25">
      <c r="B161" t="s">
        <v>94</v>
      </c>
      <c r="C161" t="s">
        <v>92</v>
      </c>
      <c r="F161" s="11">
        <f t="shared" si="36"/>
        <v>14219</v>
      </c>
      <c r="G161" s="11">
        <f t="shared" si="36"/>
        <v>14256</v>
      </c>
      <c r="H161" s="11">
        <f t="shared" si="36"/>
        <v>14128</v>
      </c>
      <c r="I161" s="11">
        <f t="shared" si="36"/>
        <v>13913</v>
      </c>
      <c r="J161" s="11">
        <f t="shared" si="36"/>
        <v>13740</v>
      </c>
      <c r="K161" s="11">
        <f t="shared" si="36"/>
        <v>13716</v>
      </c>
      <c r="L161" s="11">
        <f t="shared" si="36"/>
        <v>13854</v>
      </c>
      <c r="M161" s="11">
        <f t="shared" si="36"/>
        <v>14071</v>
      </c>
      <c r="N161" s="11">
        <f t="shared" si="36"/>
        <v>14235</v>
      </c>
      <c r="O161" s="11">
        <f t="shared" si="36"/>
        <v>14247</v>
      </c>
      <c r="P161" s="11">
        <f t="shared" si="36"/>
        <v>14099</v>
      </c>
      <c r="Q161" s="11">
        <f t="shared" si="36"/>
        <v>13882</v>
      </c>
      <c r="R161" s="11"/>
      <c r="S161" s="11">
        <f t="shared" si="37"/>
        <v>168360</v>
      </c>
      <c r="T161" s="11">
        <f t="shared" si="37"/>
        <v>168776</v>
      </c>
      <c r="U161" s="11">
        <f t="shared" si="37"/>
        <v>168912</v>
      </c>
    </row>
    <row r="162" spans="2:21" x14ac:dyDescent="0.25">
      <c r="B162" t="s">
        <v>160</v>
      </c>
      <c r="C162" t="s">
        <v>160</v>
      </c>
      <c r="F162" s="11">
        <f t="shared" si="36"/>
        <v>0</v>
      </c>
      <c r="G162" s="11">
        <f t="shared" si="36"/>
        <v>0</v>
      </c>
      <c r="H162" s="11">
        <f t="shared" si="36"/>
        <v>0</v>
      </c>
      <c r="I162" s="11">
        <f t="shared" si="36"/>
        <v>0</v>
      </c>
      <c r="J162" s="11">
        <f t="shared" si="36"/>
        <v>0</v>
      </c>
      <c r="K162" s="11">
        <f t="shared" si="36"/>
        <v>0</v>
      </c>
      <c r="L162" s="11">
        <f t="shared" si="36"/>
        <v>0</v>
      </c>
      <c r="M162" s="11">
        <f t="shared" si="36"/>
        <v>0</v>
      </c>
      <c r="N162" s="11">
        <f t="shared" si="36"/>
        <v>0</v>
      </c>
      <c r="O162" s="11">
        <f t="shared" si="36"/>
        <v>0</v>
      </c>
      <c r="P162" s="11">
        <f t="shared" si="36"/>
        <v>0</v>
      </c>
      <c r="Q162" s="11">
        <f t="shared" si="36"/>
        <v>0</v>
      </c>
      <c r="R162" s="11"/>
      <c r="S162" s="11">
        <f t="shared" si="37"/>
        <v>0</v>
      </c>
      <c r="T162" s="11">
        <f t="shared" si="37"/>
        <v>0</v>
      </c>
      <c r="U162" s="11">
        <f t="shared" si="37"/>
        <v>0</v>
      </c>
    </row>
    <row r="163" spans="2:21" x14ac:dyDescent="0.25">
      <c r="B163" t="s">
        <v>102</v>
      </c>
      <c r="C163" t="s">
        <v>102</v>
      </c>
      <c r="F163" s="11">
        <f t="shared" si="36"/>
        <v>3340</v>
      </c>
      <c r="G163" s="11">
        <f t="shared" si="36"/>
        <v>3258</v>
      </c>
      <c r="H163" s="11">
        <f t="shared" si="36"/>
        <v>3265</v>
      </c>
      <c r="I163" s="11">
        <f t="shared" si="36"/>
        <v>3350</v>
      </c>
      <c r="J163" s="11">
        <f t="shared" si="36"/>
        <v>3372</v>
      </c>
      <c r="K163" s="11">
        <f t="shared" si="36"/>
        <v>3294</v>
      </c>
      <c r="L163" s="11">
        <f t="shared" si="36"/>
        <v>3246</v>
      </c>
      <c r="M163" s="11">
        <f t="shared" si="36"/>
        <v>3308</v>
      </c>
      <c r="N163" s="11">
        <f t="shared" si="36"/>
        <v>3376</v>
      </c>
      <c r="O163" s="11">
        <f t="shared" si="36"/>
        <v>3338</v>
      </c>
      <c r="P163" s="11">
        <f t="shared" si="36"/>
        <v>3257</v>
      </c>
      <c r="Q163" s="11">
        <f t="shared" si="36"/>
        <v>3267</v>
      </c>
      <c r="R163" s="11"/>
      <c r="S163" s="11">
        <f t="shared" si="37"/>
        <v>39671</v>
      </c>
      <c r="T163" s="11">
        <f t="shared" si="37"/>
        <v>39584</v>
      </c>
      <c r="U163" s="11">
        <f t="shared" si="37"/>
        <v>39448</v>
      </c>
    </row>
    <row r="164" spans="2:21" x14ac:dyDescent="0.25">
      <c r="B164" t="s">
        <v>174</v>
      </c>
      <c r="C164" t="s">
        <v>161</v>
      </c>
      <c r="F164" s="11">
        <f t="shared" si="36"/>
        <v>0</v>
      </c>
      <c r="G164" s="11">
        <f t="shared" si="36"/>
        <v>0</v>
      </c>
      <c r="H164" s="11">
        <f t="shared" si="36"/>
        <v>0</v>
      </c>
      <c r="I164" s="11">
        <f t="shared" si="36"/>
        <v>0</v>
      </c>
      <c r="J164" s="11">
        <f t="shared" si="36"/>
        <v>0</v>
      </c>
      <c r="K164" s="11">
        <f t="shared" si="36"/>
        <v>0</v>
      </c>
      <c r="L164" s="11">
        <f t="shared" si="36"/>
        <v>0</v>
      </c>
      <c r="M164" s="11">
        <f t="shared" si="36"/>
        <v>0</v>
      </c>
      <c r="N164" s="11">
        <f t="shared" si="36"/>
        <v>0</v>
      </c>
      <c r="O164" s="11">
        <f t="shared" si="36"/>
        <v>0</v>
      </c>
      <c r="P164" s="11">
        <f t="shared" si="36"/>
        <v>0</v>
      </c>
      <c r="Q164" s="11">
        <f t="shared" si="36"/>
        <v>0</v>
      </c>
      <c r="R164" s="11"/>
      <c r="S164" s="11">
        <f t="shared" si="37"/>
        <v>0</v>
      </c>
      <c r="T164" s="11">
        <f t="shared" si="37"/>
        <v>0</v>
      </c>
      <c r="U164" s="11">
        <f t="shared" si="37"/>
        <v>0</v>
      </c>
    </row>
    <row r="165" spans="2:21" x14ac:dyDescent="0.25">
      <c r="B165" t="s">
        <v>106</v>
      </c>
      <c r="C165" t="s">
        <v>106</v>
      </c>
      <c r="F165" s="11">
        <f t="shared" si="36"/>
        <v>6661</v>
      </c>
      <c r="G165" s="11">
        <f t="shared" si="36"/>
        <v>6442</v>
      </c>
      <c r="H165" s="11">
        <f t="shared" si="36"/>
        <v>6360</v>
      </c>
      <c r="I165" s="11">
        <f t="shared" si="36"/>
        <v>6478</v>
      </c>
      <c r="J165" s="11">
        <f t="shared" si="36"/>
        <v>6707</v>
      </c>
      <c r="K165" s="11">
        <f t="shared" si="36"/>
        <v>6873</v>
      </c>
      <c r="L165" s="11">
        <f t="shared" si="36"/>
        <v>6850</v>
      </c>
      <c r="M165" s="11">
        <f t="shared" si="36"/>
        <v>6657</v>
      </c>
      <c r="N165" s="11">
        <f t="shared" si="36"/>
        <v>6439</v>
      </c>
      <c r="O165" s="11">
        <f t="shared" si="36"/>
        <v>6360</v>
      </c>
      <c r="P165" s="11">
        <f t="shared" si="36"/>
        <v>6482</v>
      </c>
      <c r="Q165" s="11">
        <f t="shared" si="36"/>
        <v>6711</v>
      </c>
      <c r="R165" s="11"/>
      <c r="S165" s="11">
        <f t="shared" si="37"/>
        <v>79020</v>
      </c>
      <c r="T165" s="11">
        <f t="shared" si="37"/>
        <v>78998</v>
      </c>
      <c r="U165" s="11">
        <f t="shared" si="37"/>
        <v>78212</v>
      </c>
    </row>
    <row r="166" spans="2:21" x14ac:dyDescent="0.25">
      <c r="B166" t="s">
        <v>108</v>
      </c>
      <c r="C166" t="s">
        <v>108</v>
      </c>
      <c r="F166" s="11">
        <f t="shared" si="36"/>
        <v>18855</v>
      </c>
      <c r="G166" s="11">
        <f t="shared" si="36"/>
        <v>19338</v>
      </c>
      <c r="H166" s="11">
        <f t="shared" si="36"/>
        <v>17397</v>
      </c>
      <c r="I166" s="11">
        <f t="shared" si="36"/>
        <v>16818</v>
      </c>
      <c r="J166" s="11">
        <f t="shared" si="36"/>
        <v>18037</v>
      </c>
      <c r="K166" s="11">
        <f t="shared" si="36"/>
        <v>20535</v>
      </c>
      <c r="L166" s="11">
        <f t="shared" si="36"/>
        <v>21676</v>
      </c>
      <c r="M166" s="11">
        <f t="shared" si="36"/>
        <v>20843</v>
      </c>
      <c r="N166" s="11">
        <f t="shared" si="36"/>
        <v>18524</v>
      </c>
      <c r="O166" s="11">
        <f t="shared" si="36"/>
        <v>16335</v>
      </c>
      <c r="P166" s="11">
        <f t="shared" si="36"/>
        <v>16123</v>
      </c>
      <c r="Q166" s="11">
        <f t="shared" si="36"/>
        <v>18064</v>
      </c>
      <c r="R166" s="11"/>
      <c r="S166" s="11">
        <f t="shared" si="37"/>
        <v>222545</v>
      </c>
      <c r="T166" s="11">
        <f t="shared" si="37"/>
        <v>223130</v>
      </c>
      <c r="U166" s="11">
        <f t="shared" si="37"/>
        <v>202088</v>
      </c>
    </row>
    <row r="167" spans="2:21" x14ac:dyDescent="0.25">
      <c r="B167" t="s">
        <v>115</v>
      </c>
      <c r="C167" t="s">
        <v>115</v>
      </c>
      <c r="F167" s="11">
        <f t="shared" si="36"/>
        <v>2620</v>
      </c>
      <c r="G167" s="11">
        <f t="shared" si="36"/>
        <v>2568</v>
      </c>
      <c r="H167" s="11">
        <f t="shared" si="36"/>
        <v>2526</v>
      </c>
      <c r="I167" s="11">
        <f t="shared" si="36"/>
        <v>2548</v>
      </c>
      <c r="J167" s="11">
        <f t="shared" si="36"/>
        <v>2606</v>
      </c>
      <c r="K167" s="11">
        <f t="shared" si="36"/>
        <v>2626</v>
      </c>
      <c r="L167" s="11">
        <f t="shared" si="36"/>
        <v>2582</v>
      </c>
      <c r="M167" s="11">
        <f t="shared" si="36"/>
        <v>2531</v>
      </c>
      <c r="N167" s="11">
        <f t="shared" si="36"/>
        <v>2537</v>
      </c>
      <c r="O167" s="11">
        <f t="shared" si="36"/>
        <v>2593</v>
      </c>
      <c r="P167" s="11">
        <f t="shared" si="36"/>
        <v>2627</v>
      </c>
      <c r="Q167" s="11">
        <f t="shared" si="36"/>
        <v>2596</v>
      </c>
      <c r="R167" s="11"/>
      <c r="S167" s="11">
        <f t="shared" si="37"/>
        <v>30960</v>
      </c>
      <c r="T167" s="11">
        <f t="shared" si="37"/>
        <v>30932</v>
      </c>
      <c r="U167" s="11">
        <f t="shared" si="37"/>
        <v>31264</v>
      </c>
    </row>
    <row r="168" spans="2:21" x14ac:dyDescent="0.25">
      <c r="B168" t="s">
        <v>119</v>
      </c>
      <c r="C168" t="s">
        <v>119</v>
      </c>
      <c r="F168" s="11">
        <f t="shared" si="36"/>
        <v>5535</v>
      </c>
      <c r="G168" s="11">
        <f t="shared" si="36"/>
        <v>5400</v>
      </c>
      <c r="H168" s="11">
        <f t="shared" si="36"/>
        <v>5242</v>
      </c>
      <c r="I168" s="11">
        <f t="shared" si="36"/>
        <v>5118</v>
      </c>
      <c r="J168" s="11">
        <f t="shared" si="36"/>
        <v>5069</v>
      </c>
      <c r="K168" s="11">
        <f t="shared" si="36"/>
        <v>5114</v>
      </c>
      <c r="L168" s="11">
        <f t="shared" si="36"/>
        <v>5236</v>
      </c>
      <c r="M168" s="11">
        <f t="shared" si="36"/>
        <v>5393</v>
      </c>
      <c r="N168" s="11">
        <f t="shared" si="36"/>
        <v>5530</v>
      </c>
      <c r="O168" s="11">
        <f t="shared" si="36"/>
        <v>5600</v>
      </c>
      <c r="P168" s="11">
        <f t="shared" si="36"/>
        <v>5577</v>
      </c>
      <c r="Q168" s="11">
        <f t="shared" si="36"/>
        <v>5470</v>
      </c>
      <c r="R168" s="11"/>
      <c r="S168" s="11">
        <f t="shared" si="37"/>
        <v>64284</v>
      </c>
      <c r="T168" s="11">
        <f t="shared" si="37"/>
        <v>65612</v>
      </c>
      <c r="U168" s="11">
        <f t="shared" si="37"/>
        <v>66588</v>
      </c>
    </row>
    <row r="169" spans="2:21" x14ac:dyDescent="0.25">
      <c r="B169" t="s">
        <v>119</v>
      </c>
      <c r="C169" t="s">
        <v>162</v>
      </c>
      <c r="F169" s="11">
        <f t="shared" si="36"/>
        <v>0</v>
      </c>
      <c r="G169" s="11">
        <f t="shared" si="36"/>
        <v>0</v>
      </c>
      <c r="H169" s="11">
        <f t="shared" si="36"/>
        <v>0</v>
      </c>
      <c r="I169" s="11">
        <f t="shared" si="36"/>
        <v>0</v>
      </c>
      <c r="J169" s="11">
        <f t="shared" si="36"/>
        <v>0</v>
      </c>
      <c r="K169" s="11">
        <f t="shared" si="36"/>
        <v>0</v>
      </c>
      <c r="L169" s="11">
        <f t="shared" si="36"/>
        <v>0</v>
      </c>
      <c r="M169" s="11">
        <f t="shared" si="36"/>
        <v>0</v>
      </c>
      <c r="N169" s="11">
        <f t="shared" si="36"/>
        <v>0</v>
      </c>
      <c r="O169" s="11">
        <f t="shared" si="36"/>
        <v>0</v>
      </c>
      <c r="P169" s="11">
        <f t="shared" si="36"/>
        <v>0</v>
      </c>
      <c r="Q169" s="11">
        <f t="shared" si="36"/>
        <v>0</v>
      </c>
      <c r="R169" s="11"/>
      <c r="S169" s="11">
        <f t="shared" si="37"/>
        <v>0</v>
      </c>
      <c r="T169" s="11">
        <f t="shared" si="37"/>
        <v>0</v>
      </c>
      <c r="U169" s="11">
        <f t="shared" si="37"/>
        <v>0</v>
      </c>
    </row>
    <row r="170" spans="2:21" x14ac:dyDescent="0.25">
      <c r="B170" t="s">
        <v>119</v>
      </c>
      <c r="C170" t="s">
        <v>163</v>
      </c>
      <c r="F170" s="11">
        <f t="shared" ref="F170:Q179" si="38">+SUMIFS(F$25:F$113,$B$25:$B$113,$C170)</f>
        <v>0</v>
      </c>
      <c r="G170" s="11">
        <f t="shared" si="38"/>
        <v>0</v>
      </c>
      <c r="H170" s="11">
        <f t="shared" si="38"/>
        <v>0</v>
      </c>
      <c r="I170" s="11">
        <f t="shared" si="38"/>
        <v>0</v>
      </c>
      <c r="J170" s="11">
        <f t="shared" si="38"/>
        <v>0</v>
      </c>
      <c r="K170" s="11">
        <f t="shared" si="38"/>
        <v>0</v>
      </c>
      <c r="L170" s="11">
        <f t="shared" si="38"/>
        <v>0</v>
      </c>
      <c r="M170" s="11">
        <f t="shared" si="38"/>
        <v>0</v>
      </c>
      <c r="N170" s="11">
        <f t="shared" si="38"/>
        <v>0</v>
      </c>
      <c r="O170" s="11">
        <f t="shared" si="38"/>
        <v>0</v>
      </c>
      <c r="P170" s="11">
        <f t="shared" si="38"/>
        <v>0</v>
      </c>
      <c r="Q170" s="11">
        <f t="shared" si="38"/>
        <v>0</v>
      </c>
      <c r="R170" s="11"/>
      <c r="S170" s="11">
        <f t="shared" si="37"/>
        <v>0</v>
      </c>
      <c r="T170" s="11">
        <f t="shared" si="37"/>
        <v>0</v>
      </c>
      <c r="U170" s="11">
        <f t="shared" si="37"/>
        <v>0</v>
      </c>
    </row>
    <row r="171" spans="2:21" x14ac:dyDescent="0.25">
      <c r="B171" t="s">
        <v>128</v>
      </c>
      <c r="C171" t="s">
        <v>128</v>
      </c>
      <c r="F171" s="11">
        <f t="shared" si="38"/>
        <v>4128</v>
      </c>
      <c r="G171" s="11">
        <f t="shared" si="38"/>
        <v>4162</v>
      </c>
      <c r="H171" s="11">
        <f t="shared" si="38"/>
        <v>4340</v>
      </c>
      <c r="I171" s="11">
        <f t="shared" si="38"/>
        <v>4296</v>
      </c>
      <c r="J171" s="11">
        <f t="shared" si="38"/>
        <v>4120</v>
      </c>
      <c r="K171" s="11">
        <f t="shared" si="38"/>
        <v>4175</v>
      </c>
      <c r="L171" s="11">
        <f t="shared" si="38"/>
        <v>4347</v>
      </c>
      <c r="M171" s="11">
        <f t="shared" si="38"/>
        <v>4282</v>
      </c>
      <c r="N171" s="11">
        <f t="shared" si="38"/>
        <v>4114</v>
      </c>
      <c r="O171" s="11">
        <f t="shared" si="38"/>
        <v>4189</v>
      </c>
      <c r="P171" s="11">
        <f t="shared" si="38"/>
        <v>4353</v>
      </c>
      <c r="Q171" s="11">
        <f t="shared" si="38"/>
        <v>4268</v>
      </c>
      <c r="R171" s="11"/>
      <c r="S171" s="11">
        <f t="shared" si="37"/>
        <v>50774</v>
      </c>
      <c r="T171" s="11">
        <f t="shared" si="37"/>
        <v>51106</v>
      </c>
      <c r="U171" s="11">
        <f t="shared" si="37"/>
        <v>51240</v>
      </c>
    </row>
    <row r="172" spans="2:21" x14ac:dyDescent="0.25">
      <c r="B172" t="s">
        <v>128</v>
      </c>
      <c r="C172" t="s">
        <v>168</v>
      </c>
      <c r="F172" s="11">
        <f t="shared" si="38"/>
        <v>0</v>
      </c>
      <c r="G172" s="11">
        <f t="shared" si="38"/>
        <v>0</v>
      </c>
      <c r="H172" s="11">
        <f t="shared" si="38"/>
        <v>0</v>
      </c>
      <c r="I172" s="11">
        <f t="shared" si="38"/>
        <v>0</v>
      </c>
      <c r="J172" s="11">
        <f t="shared" si="38"/>
        <v>0</v>
      </c>
      <c r="K172" s="11">
        <f t="shared" si="38"/>
        <v>0</v>
      </c>
      <c r="L172" s="11">
        <f t="shared" si="38"/>
        <v>0</v>
      </c>
      <c r="M172" s="11">
        <f t="shared" si="38"/>
        <v>0</v>
      </c>
      <c r="N172" s="11">
        <f t="shared" si="38"/>
        <v>0</v>
      </c>
      <c r="O172" s="11">
        <f t="shared" si="38"/>
        <v>0</v>
      </c>
      <c r="P172" s="11">
        <f t="shared" si="38"/>
        <v>0</v>
      </c>
      <c r="Q172" s="11">
        <f t="shared" si="38"/>
        <v>0</v>
      </c>
      <c r="R172" s="11"/>
      <c r="S172" s="11">
        <f t="shared" si="37"/>
        <v>0</v>
      </c>
      <c r="T172" s="11">
        <f t="shared" si="37"/>
        <v>0</v>
      </c>
      <c r="U172" s="11">
        <f t="shared" si="37"/>
        <v>0</v>
      </c>
    </row>
    <row r="173" spans="2:21" x14ac:dyDescent="0.25">
      <c r="B173" t="s">
        <v>128</v>
      </c>
      <c r="C173" t="s">
        <v>169</v>
      </c>
      <c r="F173" s="11">
        <f t="shared" si="38"/>
        <v>0</v>
      </c>
      <c r="G173" s="11">
        <f t="shared" si="38"/>
        <v>0</v>
      </c>
      <c r="H173" s="11">
        <f t="shared" si="38"/>
        <v>0</v>
      </c>
      <c r="I173" s="11">
        <f t="shared" si="38"/>
        <v>0</v>
      </c>
      <c r="J173" s="11">
        <f t="shared" si="38"/>
        <v>0</v>
      </c>
      <c r="K173" s="11">
        <f t="shared" si="38"/>
        <v>0</v>
      </c>
      <c r="L173" s="11">
        <f t="shared" si="38"/>
        <v>0</v>
      </c>
      <c r="M173" s="11">
        <f t="shared" si="38"/>
        <v>0</v>
      </c>
      <c r="N173" s="11">
        <f t="shared" si="38"/>
        <v>0</v>
      </c>
      <c r="O173" s="11">
        <f t="shared" si="38"/>
        <v>0</v>
      </c>
      <c r="P173" s="11">
        <f t="shared" si="38"/>
        <v>0</v>
      </c>
      <c r="Q173" s="11">
        <f t="shared" si="38"/>
        <v>0</v>
      </c>
      <c r="R173" s="11"/>
      <c r="S173" s="11">
        <f t="shared" si="37"/>
        <v>0</v>
      </c>
      <c r="T173" s="11">
        <f t="shared" si="37"/>
        <v>0</v>
      </c>
      <c r="U173" s="11">
        <f t="shared" si="37"/>
        <v>0</v>
      </c>
    </row>
    <row r="174" spans="2:21" x14ac:dyDescent="0.25">
      <c r="B174" t="s">
        <v>128</v>
      </c>
      <c r="C174" t="s">
        <v>171</v>
      </c>
      <c r="F174" s="11">
        <f t="shared" si="38"/>
        <v>0</v>
      </c>
      <c r="G174" s="11">
        <f t="shared" si="38"/>
        <v>0</v>
      </c>
      <c r="H174" s="11">
        <f t="shared" si="38"/>
        <v>0</v>
      </c>
      <c r="I174" s="11">
        <f t="shared" si="38"/>
        <v>0</v>
      </c>
      <c r="J174" s="11">
        <f t="shared" si="38"/>
        <v>0</v>
      </c>
      <c r="K174" s="11">
        <f t="shared" si="38"/>
        <v>0</v>
      </c>
      <c r="L174" s="11">
        <f t="shared" si="38"/>
        <v>0</v>
      </c>
      <c r="M174" s="11">
        <f t="shared" si="38"/>
        <v>0</v>
      </c>
      <c r="N174" s="11">
        <f t="shared" si="38"/>
        <v>0</v>
      </c>
      <c r="O174" s="11">
        <f t="shared" si="38"/>
        <v>0</v>
      </c>
      <c r="P174" s="11">
        <f t="shared" si="38"/>
        <v>0</v>
      </c>
      <c r="Q174" s="11">
        <f t="shared" si="38"/>
        <v>0</v>
      </c>
      <c r="R174" s="11"/>
      <c r="S174" s="11">
        <f t="shared" si="37"/>
        <v>0</v>
      </c>
      <c r="T174" s="11">
        <f t="shared" si="37"/>
        <v>0</v>
      </c>
      <c r="U174" s="11">
        <f t="shared" si="37"/>
        <v>0</v>
      </c>
    </row>
    <row r="175" spans="2:21" x14ac:dyDescent="0.25">
      <c r="B175" t="s">
        <v>128</v>
      </c>
      <c r="C175" t="s">
        <v>135</v>
      </c>
      <c r="F175" s="11">
        <f t="shared" si="38"/>
        <v>3051</v>
      </c>
      <c r="G175" s="11">
        <f t="shared" si="38"/>
        <v>3062</v>
      </c>
      <c r="H175" s="11">
        <f t="shared" si="38"/>
        <v>3066</v>
      </c>
      <c r="I175" s="11">
        <f t="shared" si="38"/>
        <v>3064</v>
      </c>
      <c r="J175" s="11">
        <f t="shared" si="38"/>
        <v>3054</v>
      </c>
      <c r="K175" s="11">
        <f t="shared" si="38"/>
        <v>3040</v>
      </c>
      <c r="L175" s="11">
        <f t="shared" si="38"/>
        <v>3025</v>
      </c>
      <c r="M175" s="11">
        <f t="shared" si="38"/>
        <v>3013</v>
      </c>
      <c r="N175" s="11">
        <f t="shared" si="38"/>
        <v>3006</v>
      </c>
      <c r="O175" s="11">
        <f t="shared" si="38"/>
        <v>3007</v>
      </c>
      <c r="P175" s="11">
        <f t="shared" si="38"/>
        <v>3015</v>
      </c>
      <c r="Q175" s="11">
        <f t="shared" si="38"/>
        <v>3028</v>
      </c>
      <c r="R175" s="11"/>
      <c r="S175" s="11">
        <f t="shared" si="37"/>
        <v>36431</v>
      </c>
      <c r="T175" s="11">
        <f t="shared" si="37"/>
        <v>36188</v>
      </c>
      <c r="U175" s="11">
        <f t="shared" si="37"/>
        <v>36200</v>
      </c>
    </row>
    <row r="176" spans="2:21" x14ac:dyDescent="0.25">
      <c r="B176" t="s">
        <v>128</v>
      </c>
      <c r="C176" t="s">
        <v>164</v>
      </c>
      <c r="F176" s="11">
        <f t="shared" si="38"/>
        <v>0</v>
      </c>
      <c r="G176" s="11">
        <f t="shared" si="38"/>
        <v>0</v>
      </c>
      <c r="H176" s="11">
        <f t="shared" si="38"/>
        <v>0</v>
      </c>
      <c r="I176" s="11">
        <f t="shared" si="38"/>
        <v>0</v>
      </c>
      <c r="J176" s="11">
        <f t="shared" si="38"/>
        <v>0</v>
      </c>
      <c r="K176" s="11">
        <f t="shared" si="38"/>
        <v>0</v>
      </c>
      <c r="L176" s="11">
        <f t="shared" si="38"/>
        <v>0</v>
      </c>
      <c r="M176" s="11">
        <f t="shared" si="38"/>
        <v>0</v>
      </c>
      <c r="N176" s="11">
        <f t="shared" si="38"/>
        <v>0</v>
      </c>
      <c r="O176" s="11">
        <f t="shared" si="38"/>
        <v>0</v>
      </c>
      <c r="P176" s="11">
        <f t="shared" si="38"/>
        <v>0</v>
      </c>
      <c r="Q176" s="11">
        <f t="shared" si="38"/>
        <v>0</v>
      </c>
      <c r="R176" s="11"/>
      <c r="S176" s="11">
        <f t="shared" si="37"/>
        <v>0</v>
      </c>
      <c r="T176" s="11">
        <f t="shared" si="37"/>
        <v>0</v>
      </c>
      <c r="U176" s="11">
        <f t="shared" si="37"/>
        <v>0</v>
      </c>
    </row>
    <row r="177" spans="2:21" x14ac:dyDescent="0.25">
      <c r="B177" t="s">
        <v>128</v>
      </c>
      <c r="C177" t="s">
        <v>125</v>
      </c>
      <c r="F177" s="11">
        <f t="shared" si="38"/>
        <v>2760</v>
      </c>
      <c r="G177" s="11">
        <f t="shared" si="38"/>
        <v>2760</v>
      </c>
      <c r="H177" s="11">
        <f t="shared" si="38"/>
        <v>2760</v>
      </c>
      <c r="I177" s="11">
        <f t="shared" si="38"/>
        <v>2760</v>
      </c>
      <c r="J177" s="11">
        <f t="shared" si="38"/>
        <v>2760</v>
      </c>
      <c r="K177" s="11">
        <f t="shared" si="38"/>
        <v>2760</v>
      </c>
      <c r="L177" s="11">
        <f t="shared" si="38"/>
        <v>2760</v>
      </c>
      <c r="M177" s="11">
        <f t="shared" si="38"/>
        <v>2760</v>
      </c>
      <c r="N177" s="11">
        <f t="shared" si="38"/>
        <v>2760</v>
      </c>
      <c r="O177" s="11">
        <f t="shared" si="38"/>
        <v>2760</v>
      </c>
      <c r="P177" s="11">
        <f t="shared" si="38"/>
        <v>2760</v>
      </c>
      <c r="Q177" s="11">
        <f t="shared" si="38"/>
        <v>2760</v>
      </c>
      <c r="R177" s="11"/>
      <c r="S177" s="11">
        <f t="shared" si="37"/>
        <v>33120</v>
      </c>
      <c r="T177" s="11">
        <f t="shared" si="37"/>
        <v>33120</v>
      </c>
      <c r="U177" s="11">
        <f t="shared" si="37"/>
        <v>33120</v>
      </c>
    </row>
    <row r="178" spans="2:21" x14ac:dyDescent="0.25">
      <c r="B178" t="s">
        <v>128</v>
      </c>
      <c r="C178" t="s">
        <v>167</v>
      </c>
      <c r="F178" s="11">
        <f t="shared" si="38"/>
        <v>0</v>
      </c>
      <c r="G178" s="11">
        <f t="shared" si="38"/>
        <v>0</v>
      </c>
      <c r="H178" s="11">
        <f t="shared" si="38"/>
        <v>0</v>
      </c>
      <c r="I178" s="11">
        <f t="shared" si="38"/>
        <v>0</v>
      </c>
      <c r="J178" s="11">
        <f t="shared" si="38"/>
        <v>0</v>
      </c>
      <c r="K178" s="11">
        <f t="shared" si="38"/>
        <v>0</v>
      </c>
      <c r="L178" s="11">
        <f t="shared" si="38"/>
        <v>0</v>
      </c>
      <c r="M178" s="11">
        <f t="shared" si="38"/>
        <v>0</v>
      </c>
      <c r="N178" s="11">
        <f t="shared" si="38"/>
        <v>0</v>
      </c>
      <c r="O178" s="11">
        <f t="shared" si="38"/>
        <v>0</v>
      </c>
      <c r="P178" s="11">
        <f t="shared" si="38"/>
        <v>0</v>
      </c>
      <c r="Q178" s="11">
        <f t="shared" si="38"/>
        <v>0</v>
      </c>
      <c r="R178" s="11"/>
      <c r="S178" s="11">
        <f t="shared" si="37"/>
        <v>0</v>
      </c>
      <c r="T178" s="11">
        <f t="shared" si="37"/>
        <v>0</v>
      </c>
      <c r="U178" s="11">
        <f t="shared" si="37"/>
        <v>0</v>
      </c>
    </row>
    <row r="179" spans="2:21" x14ac:dyDescent="0.25">
      <c r="B179" t="s">
        <v>128</v>
      </c>
      <c r="C179" t="s">
        <v>166</v>
      </c>
      <c r="F179" s="11">
        <f t="shared" si="38"/>
        <v>0</v>
      </c>
      <c r="G179" s="11">
        <f t="shared" si="38"/>
        <v>0</v>
      </c>
      <c r="H179" s="11">
        <f t="shared" si="38"/>
        <v>0</v>
      </c>
      <c r="I179" s="11">
        <f t="shared" si="38"/>
        <v>0</v>
      </c>
      <c r="J179" s="11">
        <f t="shared" si="38"/>
        <v>0</v>
      </c>
      <c r="K179" s="11">
        <f t="shared" si="38"/>
        <v>0</v>
      </c>
      <c r="L179" s="11">
        <f t="shared" si="38"/>
        <v>0</v>
      </c>
      <c r="M179" s="11">
        <f t="shared" si="38"/>
        <v>0</v>
      </c>
      <c r="N179" s="11">
        <f t="shared" si="38"/>
        <v>0</v>
      </c>
      <c r="O179" s="11">
        <f t="shared" si="38"/>
        <v>0</v>
      </c>
      <c r="P179" s="11">
        <f t="shared" si="38"/>
        <v>0</v>
      </c>
      <c r="Q179" s="11">
        <f t="shared" si="38"/>
        <v>0</v>
      </c>
      <c r="R179" s="11"/>
      <c r="S179" s="11">
        <f t="shared" si="37"/>
        <v>0</v>
      </c>
      <c r="T179" s="11">
        <f t="shared" si="37"/>
        <v>0</v>
      </c>
      <c r="U179" s="11">
        <f t="shared" si="37"/>
        <v>0</v>
      </c>
    </row>
    <row r="180" spans="2:21" x14ac:dyDescent="0.25">
      <c r="B180" t="s">
        <v>128</v>
      </c>
      <c r="C180" t="s">
        <v>170</v>
      </c>
      <c r="F180" s="11">
        <f t="shared" ref="F180:Q186" si="39">+SUMIFS(F$25:F$113,$B$25:$B$113,$C180)</f>
        <v>0</v>
      </c>
      <c r="G180" s="11">
        <f t="shared" si="39"/>
        <v>0</v>
      </c>
      <c r="H180" s="11">
        <f t="shared" si="39"/>
        <v>0</v>
      </c>
      <c r="I180" s="11">
        <f t="shared" si="39"/>
        <v>0</v>
      </c>
      <c r="J180" s="11">
        <f t="shared" si="39"/>
        <v>0</v>
      </c>
      <c r="K180" s="11">
        <f t="shared" si="39"/>
        <v>0</v>
      </c>
      <c r="L180" s="11">
        <f t="shared" si="39"/>
        <v>0</v>
      </c>
      <c r="M180" s="11">
        <f t="shared" si="39"/>
        <v>0</v>
      </c>
      <c r="N180" s="11">
        <f t="shared" si="39"/>
        <v>0</v>
      </c>
      <c r="O180" s="11">
        <f t="shared" si="39"/>
        <v>0</v>
      </c>
      <c r="P180" s="11">
        <f t="shared" si="39"/>
        <v>0</v>
      </c>
      <c r="Q180" s="11">
        <f t="shared" si="39"/>
        <v>0</v>
      </c>
      <c r="R180" s="11"/>
      <c r="S180" s="11">
        <f t="shared" si="37"/>
        <v>0</v>
      </c>
      <c r="T180" s="11">
        <f t="shared" si="37"/>
        <v>0</v>
      </c>
      <c r="U180" s="11">
        <f t="shared" si="37"/>
        <v>0</v>
      </c>
    </row>
    <row r="181" spans="2:21" x14ac:dyDescent="0.25">
      <c r="B181" t="s">
        <v>128</v>
      </c>
      <c r="C181" t="s">
        <v>165</v>
      </c>
      <c r="F181" s="11">
        <f t="shared" si="39"/>
        <v>0</v>
      </c>
      <c r="G181" s="11">
        <f t="shared" si="39"/>
        <v>0</v>
      </c>
      <c r="H181" s="11">
        <f t="shared" si="39"/>
        <v>0</v>
      </c>
      <c r="I181" s="11">
        <f t="shared" si="39"/>
        <v>0</v>
      </c>
      <c r="J181" s="11">
        <f t="shared" si="39"/>
        <v>0</v>
      </c>
      <c r="K181" s="11">
        <f t="shared" si="39"/>
        <v>0</v>
      </c>
      <c r="L181" s="11">
        <f t="shared" si="39"/>
        <v>0</v>
      </c>
      <c r="M181" s="11">
        <f t="shared" si="39"/>
        <v>0</v>
      </c>
      <c r="N181" s="11">
        <f t="shared" si="39"/>
        <v>0</v>
      </c>
      <c r="O181" s="11">
        <f t="shared" si="39"/>
        <v>0</v>
      </c>
      <c r="P181" s="11">
        <f t="shared" si="39"/>
        <v>0</v>
      </c>
      <c r="Q181" s="11">
        <f t="shared" si="39"/>
        <v>0</v>
      </c>
      <c r="R181" s="11"/>
      <c r="S181" s="11">
        <f t="shared" si="37"/>
        <v>0</v>
      </c>
      <c r="T181" s="11">
        <f t="shared" si="37"/>
        <v>0</v>
      </c>
      <c r="U181" s="11">
        <f t="shared" si="37"/>
        <v>0</v>
      </c>
    </row>
    <row r="182" spans="2:21" x14ac:dyDescent="0.25">
      <c r="B182" t="s">
        <v>45</v>
      </c>
      <c r="C182" t="s">
        <v>139</v>
      </c>
      <c r="F182" s="11">
        <f t="shared" si="39"/>
        <v>12880</v>
      </c>
      <c r="G182" s="11">
        <f t="shared" si="39"/>
        <v>12880</v>
      </c>
      <c r="H182" s="11">
        <f t="shared" si="39"/>
        <v>12880</v>
      </c>
      <c r="I182" s="11">
        <f t="shared" si="39"/>
        <v>12880</v>
      </c>
      <c r="J182" s="11">
        <f t="shared" si="39"/>
        <v>12880</v>
      </c>
      <c r="K182" s="11">
        <f t="shared" si="39"/>
        <v>12880</v>
      </c>
      <c r="L182" s="11">
        <f t="shared" si="39"/>
        <v>12880</v>
      </c>
      <c r="M182" s="11">
        <f t="shared" si="39"/>
        <v>12880</v>
      </c>
      <c r="N182" s="11">
        <f t="shared" si="39"/>
        <v>12880</v>
      </c>
      <c r="O182" s="11">
        <f t="shared" si="39"/>
        <v>12880</v>
      </c>
      <c r="P182" s="11">
        <f t="shared" si="39"/>
        <v>12880</v>
      </c>
      <c r="Q182" s="11">
        <f t="shared" si="39"/>
        <v>12880</v>
      </c>
      <c r="R182" s="11"/>
      <c r="S182" s="11">
        <f t="shared" si="37"/>
        <v>154560</v>
      </c>
      <c r="T182" s="11">
        <f t="shared" si="37"/>
        <v>154560</v>
      </c>
      <c r="U182" s="11">
        <f t="shared" si="37"/>
        <v>154560</v>
      </c>
    </row>
    <row r="183" spans="2:21" x14ac:dyDescent="0.25">
      <c r="B183" t="s">
        <v>137</v>
      </c>
      <c r="C183" t="s">
        <v>137</v>
      </c>
      <c r="F183" s="11">
        <f t="shared" si="39"/>
        <v>10120</v>
      </c>
      <c r="G183" s="11">
        <f t="shared" si="39"/>
        <v>10120</v>
      </c>
      <c r="H183" s="11">
        <f t="shared" si="39"/>
        <v>10120</v>
      </c>
      <c r="I183" s="11">
        <f t="shared" si="39"/>
        <v>10120</v>
      </c>
      <c r="J183" s="11">
        <f t="shared" si="39"/>
        <v>10120</v>
      </c>
      <c r="K183" s="11">
        <f t="shared" si="39"/>
        <v>10120</v>
      </c>
      <c r="L183" s="11">
        <f t="shared" si="39"/>
        <v>10120</v>
      </c>
      <c r="M183" s="11">
        <f t="shared" si="39"/>
        <v>10120</v>
      </c>
      <c r="N183" s="11">
        <f t="shared" si="39"/>
        <v>10120</v>
      </c>
      <c r="O183" s="11">
        <f t="shared" si="39"/>
        <v>10120</v>
      </c>
      <c r="P183" s="11">
        <f t="shared" si="39"/>
        <v>10120</v>
      </c>
      <c r="Q183" s="11">
        <f t="shared" si="39"/>
        <v>10120</v>
      </c>
      <c r="R183" s="11"/>
      <c r="S183" s="11">
        <f t="shared" si="37"/>
        <v>121440</v>
      </c>
      <c r="T183" s="11">
        <f t="shared" si="37"/>
        <v>121440</v>
      </c>
      <c r="U183" s="11">
        <f t="shared" si="37"/>
        <v>121440</v>
      </c>
    </row>
    <row r="184" spans="2:21" x14ac:dyDescent="0.25">
      <c r="B184" t="s">
        <v>137</v>
      </c>
      <c r="C184" t="s">
        <v>172</v>
      </c>
      <c r="F184" s="11">
        <f t="shared" si="39"/>
        <v>0</v>
      </c>
      <c r="G184" s="11">
        <f t="shared" si="39"/>
        <v>0</v>
      </c>
      <c r="H184" s="11">
        <f t="shared" si="39"/>
        <v>0</v>
      </c>
      <c r="I184" s="11">
        <f t="shared" si="39"/>
        <v>0</v>
      </c>
      <c r="J184" s="11">
        <f t="shared" si="39"/>
        <v>0</v>
      </c>
      <c r="K184" s="11">
        <f t="shared" si="39"/>
        <v>0</v>
      </c>
      <c r="L184" s="11">
        <f t="shared" si="39"/>
        <v>0</v>
      </c>
      <c r="M184" s="11">
        <f t="shared" si="39"/>
        <v>0</v>
      </c>
      <c r="N184" s="11">
        <f t="shared" si="39"/>
        <v>0</v>
      </c>
      <c r="O184" s="11">
        <f t="shared" si="39"/>
        <v>0</v>
      </c>
      <c r="P184" s="11">
        <f t="shared" si="39"/>
        <v>0</v>
      </c>
      <c r="Q184" s="11">
        <f t="shared" si="39"/>
        <v>0</v>
      </c>
      <c r="R184" s="11"/>
      <c r="S184" s="11">
        <f t="shared" si="37"/>
        <v>0</v>
      </c>
      <c r="T184" s="11">
        <f t="shared" si="37"/>
        <v>0</v>
      </c>
      <c r="U184" s="11">
        <f t="shared" si="37"/>
        <v>0</v>
      </c>
    </row>
    <row r="185" spans="2:21" x14ac:dyDescent="0.25">
      <c r="B185" t="s">
        <v>174</v>
      </c>
      <c r="C185" t="s">
        <v>174</v>
      </c>
      <c r="F185" s="11">
        <f t="shared" si="39"/>
        <v>0</v>
      </c>
      <c r="G185" s="11">
        <f t="shared" si="39"/>
        <v>0</v>
      </c>
      <c r="H185" s="11">
        <f t="shared" si="39"/>
        <v>0</v>
      </c>
      <c r="I185" s="11">
        <f t="shared" si="39"/>
        <v>0</v>
      </c>
      <c r="J185" s="11">
        <f t="shared" si="39"/>
        <v>0</v>
      </c>
      <c r="K185" s="11">
        <f t="shared" si="39"/>
        <v>0</v>
      </c>
      <c r="L185" s="11">
        <f t="shared" si="39"/>
        <v>0</v>
      </c>
      <c r="M185" s="11">
        <f t="shared" si="39"/>
        <v>0</v>
      </c>
      <c r="N185" s="11">
        <f t="shared" si="39"/>
        <v>0</v>
      </c>
      <c r="O185" s="11">
        <f t="shared" si="39"/>
        <v>0</v>
      </c>
      <c r="P185" s="11">
        <f t="shared" si="39"/>
        <v>0</v>
      </c>
      <c r="Q185" s="11">
        <f t="shared" si="39"/>
        <v>0</v>
      </c>
      <c r="R185" s="11"/>
      <c r="S185" s="11">
        <f t="shared" si="37"/>
        <v>0</v>
      </c>
      <c r="T185" s="11">
        <f t="shared" si="37"/>
        <v>0</v>
      </c>
      <c r="U185" s="11">
        <f t="shared" si="37"/>
        <v>0</v>
      </c>
    </row>
    <row r="186" spans="2:21" x14ac:dyDescent="0.25">
      <c r="B186" t="s">
        <v>174</v>
      </c>
      <c r="C186" t="s">
        <v>173</v>
      </c>
      <c r="F186" s="11">
        <f t="shared" si="39"/>
        <v>0</v>
      </c>
      <c r="G186" s="11">
        <f t="shared" si="39"/>
        <v>0</v>
      </c>
      <c r="H186" s="11">
        <f t="shared" si="39"/>
        <v>0</v>
      </c>
      <c r="I186" s="11">
        <f t="shared" si="39"/>
        <v>0</v>
      </c>
      <c r="J186" s="11">
        <f t="shared" si="39"/>
        <v>0</v>
      </c>
      <c r="K186" s="11">
        <f t="shared" si="39"/>
        <v>0</v>
      </c>
      <c r="L186" s="11">
        <f t="shared" si="39"/>
        <v>0</v>
      </c>
      <c r="M186" s="11">
        <f t="shared" si="39"/>
        <v>0</v>
      </c>
      <c r="N186" s="11">
        <f t="shared" si="39"/>
        <v>0</v>
      </c>
      <c r="O186" s="11">
        <f t="shared" si="39"/>
        <v>0</v>
      </c>
      <c r="P186" s="11">
        <f t="shared" si="39"/>
        <v>0</v>
      </c>
      <c r="Q186" s="11">
        <f t="shared" si="39"/>
        <v>0</v>
      </c>
      <c r="R186" s="11"/>
      <c r="S186" s="11">
        <f t="shared" si="37"/>
        <v>0</v>
      </c>
      <c r="T186" s="11">
        <f t="shared" si="37"/>
        <v>0</v>
      </c>
      <c r="U186" s="11">
        <f t="shared" si="37"/>
        <v>0</v>
      </c>
    </row>
    <row r="187" spans="2:21" x14ac:dyDescent="0.25">
      <c r="C187" t="s">
        <v>200</v>
      </c>
      <c r="F187" s="47">
        <f t="shared" ref="F187:Q187" si="40">+SUM(F158:F186)</f>
        <v>266011</v>
      </c>
      <c r="G187" s="47">
        <f t="shared" si="40"/>
        <v>265578</v>
      </c>
      <c r="H187" s="47">
        <f t="shared" si="40"/>
        <v>262685</v>
      </c>
      <c r="I187" s="47">
        <f t="shared" si="40"/>
        <v>261779</v>
      </c>
      <c r="J187" s="47">
        <f t="shared" si="40"/>
        <v>263436</v>
      </c>
      <c r="K187" s="47">
        <f t="shared" si="40"/>
        <v>266711</v>
      </c>
      <c r="L187" s="47">
        <f t="shared" si="40"/>
        <v>268141</v>
      </c>
      <c r="M187" s="47">
        <f t="shared" si="40"/>
        <v>266799</v>
      </c>
      <c r="N187" s="47">
        <f t="shared" si="40"/>
        <v>263935</v>
      </c>
      <c r="O187" s="47">
        <f t="shared" si="40"/>
        <v>262025</v>
      </c>
      <c r="P187" s="47">
        <f t="shared" si="40"/>
        <v>262621</v>
      </c>
      <c r="Q187" s="47">
        <f t="shared" si="40"/>
        <v>264880</v>
      </c>
      <c r="R187" s="47"/>
      <c r="S187" s="47">
        <f>+SUM(S158:S186)</f>
        <v>3174601</v>
      </c>
      <c r="T187" s="47">
        <f>+SUM(T158:T186)</f>
        <v>3176802</v>
      </c>
      <c r="U187" s="47">
        <f>+SUM(U158:U186)</f>
        <v>3158104</v>
      </c>
    </row>
    <row r="189" spans="2:21" ht="15.75" thickBot="1" x14ac:dyDescent="0.3">
      <c r="C189" t="s">
        <v>201</v>
      </c>
      <c r="F189" s="48">
        <f t="shared" ref="F189:Q189" si="41">+F127-F187</f>
        <v>130237</v>
      </c>
      <c r="G189" s="48">
        <f t="shared" si="41"/>
        <v>149383</v>
      </c>
      <c r="H189" s="48">
        <f t="shared" si="41"/>
        <v>149156</v>
      </c>
      <c r="I189" s="48">
        <f t="shared" si="41"/>
        <v>140313</v>
      </c>
      <c r="J189" s="48">
        <f t="shared" si="41"/>
        <v>167859</v>
      </c>
      <c r="K189" s="48">
        <f t="shared" si="41"/>
        <v>153580</v>
      </c>
      <c r="L189" s="48">
        <f t="shared" si="41"/>
        <v>154019</v>
      </c>
      <c r="M189" s="48">
        <f t="shared" si="41"/>
        <v>156030</v>
      </c>
      <c r="N189" s="48">
        <f t="shared" si="41"/>
        <v>164585</v>
      </c>
      <c r="O189" s="48">
        <f t="shared" si="41"/>
        <v>158277</v>
      </c>
      <c r="P189" s="48">
        <f t="shared" si="41"/>
        <v>175015</v>
      </c>
      <c r="Q189" s="48">
        <f t="shared" si="41"/>
        <v>168454</v>
      </c>
      <c r="R189" s="48"/>
      <c r="S189" s="48">
        <f>+S127-S187</f>
        <v>1866908</v>
      </c>
      <c r="T189" s="48">
        <f>+T127-T187</f>
        <v>1952760</v>
      </c>
      <c r="U189" s="48">
        <f>+U127-U187</f>
        <v>2006984</v>
      </c>
    </row>
    <row r="190" spans="2:21" ht="15.75" thickTop="1" x14ac:dyDescent="0.25">
      <c r="B190" t="s">
        <v>46</v>
      </c>
      <c r="C190" t="s">
        <v>46</v>
      </c>
      <c r="F190" s="11">
        <f t="shared" ref="F190:Q190" si="42">+SUMIFS(F$25:F$113,$B$25:$B$113,$C190)</f>
        <v>19812</v>
      </c>
      <c r="G190" s="11">
        <f t="shared" si="42"/>
        <v>20748</v>
      </c>
      <c r="H190" s="11">
        <f t="shared" si="42"/>
        <v>20592</v>
      </c>
      <c r="I190" s="11">
        <f t="shared" si="42"/>
        <v>20105</v>
      </c>
      <c r="J190" s="11">
        <f t="shared" si="42"/>
        <v>21565</v>
      </c>
      <c r="K190" s="11">
        <f t="shared" si="42"/>
        <v>21015</v>
      </c>
      <c r="L190" s="11">
        <f t="shared" si="42"/>
        <v>21108</v>
      </c>
      <c r="M190" s="11">
        <f t="shared" si="42"/>
        <v>21141</v>
      </c>
      <c r="N190" s="11">
        <f t="shared" si="42"/>
        <v>21426</v>
      </c>
      <c r="O190" s="11">
        <f t="shared" si="42"/>
        <v>21015</v>
      </c>
      <c r="P190" s="11">
        <f t="shared" si="42"/>
        <v>21882</v>
      </c>
      <c r="Q190" s="11">
        <f t="shared" si="42"/>
        <v>21667</v>
      </c>
      <c r="R190" s="11"/>
      <c r="S190" s="11">
        <f>IFERROR(SUMIFS($E190:$Q190,$E$5:$Q$5,"&gt;="&amp;S$4,$E$5:$Q$5,"&lt;="&amp;S$5),0)*S$2</f>
        <v>252076</v>
      </c>
      <c r="T190" s="11">
        <f>IFERROR(SUMIFS($E190:$Q190,$E$5:$Q$5,"&gt;="&amp;T$4,$E$5:$Q$5,"&lt;="&amp;T$5),0)*T$2</f>
        <v>256478</v>
      </c>
      <c r="U190" s="11">
        <f>IFERROR(SUMIFS($E190:$Q190,$E$5:$Q$5,"&gt;="&amp;U$4,$E$5:$Q$5,"&lt;="&amp;U$5),0)*U$2</f>
        <v>258256</v>
      </c>
    </row>
    <row r="191" spans="2:21" ht="15.75" thickBot="1" x14ac:dyDescent="0.3">
      <c r="C191" t="s">
        <v>202</v>
      </c>
      <c r="F191" s="48">
        <f t="shared" ref="F191:Q191" si="43">+F189-F190</f>
        <v>110425</v>
      </c>
      <c r="G191" s="48">
        <f t="shared" si="43"/>
        <v>128635</v>
      </c>
      <c r="H191" s="48">
        <f t="shared" si="43"/>
        <v>128564</v>
      </c>
      <c r="I191" s="48">
        <f t="shared" si="43"/>
        <v>120208</v>
      </c>
      <c r="J191" s="48">
        <f t="shared" si="43"/>
        <v>146294</v>
      </c>
      <c r="K191" s="48">
        <f t="shared" si="43"/>
        <v>132565</v>
      </c>
      <c r="L191" s="48">
        <f t="shared" si="43"/>
        <v>132911</v>
      </c>
      <c r="M191" s="48">
        <f t="shared" si="43"/>
        <v>134889</v>
      </c>
      <c r="N191" s="48">
        <f t="shared" si="43"/>
        <v>143159</v>
      </c>
      <c r="O191" s="48">
        <f t="shared" si="43"/>
        <v>137262</v>
      </c>
      <c r="P191" s="48">
        <f t="shared" si="43"/>
        <v>153133</v>
      </c>
      <c r="Q191" s="48">
        <f t="shared" si="43"/>
        <v>146787</v>
      </c>
      <c r="R191" s="48"/>
      <c r="S191" s="48">
        <f>+S189-S190</f>
        <v>1614832</v>
      </c>
      <c r="T191" s="48">
        <f>+T189-T190</f>
        <v>1696282</v>
      </c>
      <c r="U191" s="48">
        <f>+U189-U190</f>
        <v>1748728</v>
      </c>
    </row>
    <row r="192" spans="2:21" ht="15.75" thickTop="1" x14ac:dyDescent="0.25">
      <c r="C192" s="2" t="s">
        <v>68</v>
      </c>
      <c r="F192" s="34">
        <f t="shared" ref="F192:Q192" si="44">+F191/F127</f>
        <v>0.27867648543336498</v>
      </c>
      <c r="G192" s="34">
        <f t="shared" si="44"/>
        <v>0.30999298729278174</v>
      </c>
      <c r="H192" s="34">
        <f t="shared" si="44"/>
        <v>0.31216901668362307</v>
      </c>
      <c r="I192" s="34">
        <f t="shared" si="44"/>
        <v>0.29895645772609253</v>
      </c>
      <c r="J192" s="34">
        <f t="shared" si="44"/>
        <v>0.33919706929132032</v>
      </c>
      <c r="K192" s="34">
        <f t="shared" si="44"/>
        <v>0.31541241663514091</v>
      </c>
      <c r="L192" s="34">
        <f t="shared" si="44"/>
        <v>0.31483560735266247</v>
      </c>
      <c r="M192" s="34">
        <f t="shared" si="44"/>
        <v>0.31901548853082451</v>
      </c>
      <c r="N192" s="34">
        <f t="shared" si="44"/>
        <v>0.33407775599738637</v>
      </c>
      <c r="O192" s="34">
        <f t="shared" si="44"/>
        <v>0.32657945953147977</v>
      </c>
      <c r="P192" s="34">
        <f t="shared" si="44"/>
        <v>0.34990951384255409</v>
      </c>
      <c r="Q192" s="34">
        <f t="shared" si="44"/>
        <v>0.33873870963275443</v>
      </c>
      <c r="R192" s="34"/>
      <c r="S192" s="34">
        <f>+S191/S127</f>
        <v>0.32030727308034163</v>
      </c>
      <c r="T192" s="34">
        <f>+T191/T127</f>
        <v>0.3306874933961223</v>
      </c>
      <c r="U192" s="34">
        <f>+U191/U127</f>
        <v>0.33856693245110248</v>
      </c>
    </row>
    <row r="193" spans="2:21" x14ac:dyDescent="0.25">
      <c r="B193" t="s">
        <v>175</v>
      </c>
      <c r="C193" t="s">
        <v>175</v>
      </c>
    </row>
    <row r="195" spans="2:21" x14ac:dyDescent="0.25">
      <c r="B195" s="2" t="s">
        <v>69</v>
      </c>
      <c r="F195" s="44">
        <f>F191-'AR Historical Financials'!E92</f>
        <v>0</v>
      </c>
      <c r="G195" s="44">
        <f>G191-'AR Historical Financials'!F92</f>
        <v>0</v>
      </c>
      <c r="H195" s="44">
        <f>H191-'AR Historical Financials'!G92</f>
        <v>0</v>
      </c>
      <c r="I195" s="44">
        <f>I191-'AR Historical Financials'!H92</f>
        <v>0</v>
      </c>
      <c r="J195" s="44">
        <f>J191-'AR Historical Financials'!I92</f>
        <v>0</v>
      </c>
      <c r="K195" s="44">
        <f>K191-'AR Historical Financials'!J92</f>
        <v>0</v>
      </c>
      <c r="L195" s="44">
        <f>L191-'AR Historical Financials'!K92</f>
        <v>0</v>
      </c>
      <c r="M195" s="44">
        <f>M191-'AR Historical Financials'!L92</f>
        <v>0</v>
      </c>
      <c r="N195" s="44">
        <f>N191-'AR Historical Financials'!M92</f>
        <v>0</v>
      </c>
      <c r="O195" s="44">
        <f>O191-'AR Historical Financials'!N92</f>
        <v>0</v>
      </c>
      <c r="P195" s="44">
        <f>P191-'AR Historical Financials'!O92</f>
        <v>0</v>
      </c>
      <c r="Q195" s="44">
        <f>Q191-'AR Historical Financials'!P92</f>
        <v>0</v>
      </c>
      <c r="R195" s="43"/>
      <c r="S195" s="44">
        <f>S191-'AR Historical Financials'!Q92</f>
        <v>0</v>
      </c>
      <c r="T195" s="43"/>
      <c r="U195" s="43"/>
    </row>
    <row r="197" spans="2:21" x14ac:dyDescent="0.25">
      <c r="B197" t="s">
        <v>203</v>
      </c>
      <c r="F197" s="35">
        <f t="shared" ref="F197:Q197" si="45">+F12</f>
        <v>84</v>
      </c>
      <c r="G197" s="35">
        <f t="shared" si="45"/>
        <v>84</v>
      </c>
      <c r="H197" s="35">
        <f t="shared" si="45"/>
        <v>84</v>
      </c>
      <c r="I197" s="35">
        <f t="shared" si="45"/>
        <v>84</v>
      </c>
      <c r="J197" s="35">
        <f t="shared" si="45"/>
        <v>84</v>
      </c>
      <c r="K197" s="35">
        <f t="shared" si="45"/>
        <v>84</v>
      </c>
      <c r="L197" s="35">
        <f t="shared" si="45"/>
        <v>84</v>
      </c>
      <c r="M197" s="35">
        <f t="shared" si="45"/>
        <v>84</v>
      </c>
      <c r="N197" s="35">
        <f t="shared" si="45"/>
        <v>84</v>
      </c>
      <c r="O197" s="35">
        <f t="shared" si="45"/>
        <v>84</v>
      </c>
      <c r="P197" s="35">
        <f t="shared" si="45"/>
        <v>84</v>
      </c>
      <c r="Q197" s="35">
        <f t="shared" si="45"/>
        <v>84</v>
      </c>
      <c r="R197" s="35"/>
      <c r="S197" s="35">
        <f>+S12</f>
        <v>84</v>
      </c>
      <c r="T197" s="35">
        <f>+T12</f>
        <v>84</v>
      </c>
      <c r="U197" s="35">
        <f>+U12</f>
        <v>84</v>
      </c>
    </row>
    <row r="198" spans="2:21" x14ac:dyDescent="0.25">
      <c r="B198" t="s">
        <v>204</v>
      </c>
      <c r="F198" s="35">
        <f t="shared" ref="F198:Q198" si="46">+F17</f>
        <v>71</v>
      </c>
      <c r="G198" s="35">
        <f t="shared" si="46"/>
        <v>73</v>
      </c>
      <c r="H198" s="35">
        <f t="shared" si="46"/>
        <v>74</v>
      </c>
      <c r="I198" s="35">
        <f t="shared" si="46"/>
        <v>73</v>
      </c>
      <c r="J198" s="35">
        <f t="shared" si="46"/>
        <v>76</v>
      </c>
      <c r="K198" s="35">
        <f t="shared" si="46"/>
        <v>76</v>
      </c>
      <c r="L198" s="35">
        <f t="shared" si="46"/>
        <v>76</v>
      </c>
      <c r="M198" s="35">
        <f t="shared" si="46"/>
        <v>75</v>
      </c>
      <c r="N198" s="35">
        <f t="shared" si="46"/>
        <v>76</v>
      </c>
      <c r="O198" s="35">
        <f t="shared" si="46"/>
        <v>76</v>
      </c>
      <c r="P198" s="35">
        <f t="shared" si="46"/>
        <v>78</v>
      </c>
      <c r="Q198" s="35">
        <f t="shared" si="46"/>
        <v>78</v>
      </c>
      <c r="R198" s="35"/>
      <c r="S198" s="35">
        <f>+S17</f>
        <v>75.166666666666671</v>
      </c>
      <c r="T198" s="35">
        <f>+T17</f>
        <v>76.5</v>
      </c>
      <c r="U198" s="35">
        <f>+U17</f>
        <v>77.333333333333329</v>
      </c>
    </row>
    <row r="199" spans="2:21" x14ac:dyDescent="0.25">
      <c r="B199" t="s">
        <v>205</v>
      </c>
      <c r="F199" s="49">
        <v>1</v>
      </c>
      <c r="G199" s="50">
        <f t="shared" ref="G199:Q199" si="47">+F199</f>
        <v>1</v>
      </c>
      <c r="H199" s="50">
        <f t="shared" si="47"/>
        <v>1</v>
      </c>
      <c r="I199" s="50">
        <f t="shared" si="47"/>
        <v>1</v>
      </c>
      <c r="J199" s="50">
        <f t="shared" si="47"/>
        <v>1</v>
      </c>
      <c r="K199" s="50">
        <f t="shared" si="47"/>
        <v>1</v>
      </c>
      <c r="L199" s="50">
        <f t="shared" si="47"/>
        <v>1</v>
      </c>
      <c r="M199" s="50">
        <f t="shared" si="47"/>
        <v>1</v>
      </c>
      <c r="N199" s="50">
        <f t="shared" si="47"/>
        <v>1</v>
      </c>
      <c r="O199" s="50">
        <f t="shared" si="47"/>
        <v>1</v>
      </c>
      <c r="P199" s="50">
        <f t="shared" si="47"/>
        <v>1</v>
      </c>
      <c r="Q199" s="50">
        <f t="shared" si="47"/>
        <v>1</v>
      </c>
      <c r="R199" s="50"/>
      <c r="S199" s="50">
        <f>$F$199</f>
        <v>1</v>
      </c>
      <c r="T199" s="50">
        <f>$F$199</f>
        <v>1</v>
      </c>
      <c r="U199" s="50">
        <f>$F$199</f>
        <v>1</v>
      </c>
    </row>
    <row r="200" spans="2:21" x14ac:dyDescent="0.25">
      <c r="B200" t="s">
        <v>206</v>
      </c>
      <c r="F200" s="35">
        <f t="shared" ref="F200:Q200" si="48">+F24</f>
        <v>2201</v>
      </c>
      <c r="G200" s="35">
        <f t="shared" si="48"/>
        <v>2263</v>
      </c>
      <c r="H200" s="35">
        <f t="shared" si="48"/>
        <v>2220</v>
      </c>
      <c r="I200" s="35">
        <f t="shared" si="48"/>
        <v>2263</v>
      </c>
      <c r="J200" s="35">
        <f t="shared" si="48"/>
        <v>2280</v>
      </c>
      <c r="K200" s="35">
        <f t="shared" si="48"/>
        <v>2356</v>
      </c>
      <c r="L200" s="35">
        <f t="shared" si="48"/>
        <v>2356</v>
      </c>
      <c r="M200" s="35">
        <f t="shared" si="48"/>
        <v>2100</v>
      </c>
      <c r="N200" s="35">
        <f t="shared" si="48"/>
        <v>2356</v>
      </c>
      <c r="O200" s="35">
        <f t="shared" si="48"/>
        <v>2280</v>
      </c>
      <c r="P200" s="35">
        <f t="shared" si="48"/>
        <v>2418</v>
      </c>
      <c r="Q200" s="35">
        <f t="shared" si="48"/>
        <v>2340</v>
      </c>
      <c r="R200" s="35"/>
      <c r="S200" s="35">
        <f>+S24</f>
        <v>27433</v>
      </c>
      <c r="T200" s="35">
        <f>+T24</f>
        <v>27700</v>
      </c>
      <c r="U200" s="35">
        <f>+U24</f>
        <v>28152</v>
      </c>
    </row>
    <row r="201" spans="2:21" x14ac:dyDescent="0.25">
      <c r="B201" t="s">
        <v>198</v>
      </c>
      <c r="F201" s="35">
        <f t="shared" ref="F201:Q201" si="49">+F149</f>
        <v>153693</v>
      </c>
      <c r="G201" s="35">
        <f t="shared" si="49"/>
        <v>153208</v>
      </c>
      <c r="H201" s="35">
        <f t="shared" si="49"/>
        <v>152591</v>
      </c>
      <c r="I201" s="35">
        <f t="shared" si="49"/>
        <v>152518</v>
      </c>
      <c r="J201" s="35">
        <f t="shared" si="49"/>
        <v>153068</v>
      </c>
      <c r="K201" s="35">
        <f t="shared" si="49"/>
        <v>153639</v>
      </c>
      <c r="L201" s="35">
        <f t="shared" si="49"/>
        <v>153609</v>
      </c>
      <c r="M201" s="35">
        <f t="shared" si="49"/>
        <v>153009</v>
      </c>
      <c r="N201" s="35">
        <f t="shared" si="49"/>
        <v>152496</v>
      </c>
      <c r="O201" s="35">
        <f t="shared" si="49"/>
        <v>152629</v>
      </c>
      <c r="P201" s="35">
        <f t="shared" si="49"/>
        <v>153264</v>
      </c>
      <c r="Q201" s="35">
        <f t="shared" si="49"/>
        <v>153707</v>
      </c>
      <c r="R201" s="35"/>
      <c r="S201" s="35">
        <f>+S149</f>
        <v>1837431</v>
      </c>
      <c r="T201" s="35">
        <f>+T149</f>
        <v>1837428</v>
      </c>
      <c r="U201" s="35">
        <f>+U149</f>
        <v>1838400</v>
      </c>
    </row>
    <row r="202" spans="2:21" x14ac:dyDescent="0.25">
      <c r="B202" t="s">
        <v>207</v>
      </c>
      <c r="F202" s="35">
        <f t="shared" ref="F202:Q202" si="50">+SUM(F151:F157)</f>
        <v>25897</v>
      </c>
      <c r="G202" s="35">
        <f t="shared" si="50"/>
        <v>25890</v>
      </c>
      <c r="H202" s="35">
        <f t="shared" si="50"/>
        <v>25817</v>
      </c>
      <c r="I202" s="35">
        <f t="shared" si="50"/>
        <v>25751</v>
      </c>
      <c r="J202" s="35">
        <f t="shared" si="50"/>
        <v>25726</v>
      </c>
      <c r="K202" s="35">
        <f t="shared" si="50"/>
        <v>25722</v>
      </c>
      <c r="L202" s="35">
        <f t="shared" si="50"/>
        <v>25707</v>
      </c>
      <c r="M202" s="35">
        <f t="shared" si="50"/>
        <v>25689</v>
      </c>
      <c r="N202" s="35">
        <f t="shared" si="50"/>
        <v>25713</v>
      </c>
      <c r="O202" s="35">
        <f t="shared" si="50"/>
        <v>25798</v>
      </c>
      <c r="P202" s="35">
        <f t="shared" si="50"/>
        <v>25895</v>
      </c>
      <c r="Q202" s="35">
        <f t="shared" si="50"/>
        <v>25922</v>
      </c>
      <c r="R202" s="35"/>
      <c r="S202" s="35">
        <f>+SUM(S151:S157)</f>
        <v>309527</v>
      </c>
      <c r="T202" s="35">
        <f>+SUM(T151:T157)</f>
        <v>309448</v>
      </c>
      <c r="U202" s="35">
        <f>+SUM(U151:U157)</f>
        <v>310460</v>
      </c>
    </row>
    <row r="203" spans="2:21" x14ac:dyDescent="0.25">
      <c r="B203" t="s">
        <v>196</v>
      </c>
      <c r="F203" s="35">
        <f t="shared" ref="F203:Q203" si="51">+F127</f>
        <v>396248</v>
      </c>
      <c r="G203" s="35">
        <f t="shared" si="51"/>
        <v>414961</v>
      </c>
      <c r="H203" s="35">
        <f t="shared" si="51"/>
        <v>411841</v>
      </c>
      <c r="I203" s="35">
        <f t="shared" si="51"/>
        <v>402092</v>
      </c>
      <c r="J203" s="35">
        <f t="shared" si="51"/>
        <v>431295</v>
      </c>
      <c r="K203" s="35">
        <f t="shared" si="51"/>
        <v>420291</v>
      </c>
      <c r="L203" s="35">
        <f t="shared" si="51"/>
        <v>422160</v>
      </c>
      <c r="M203" s="35">
        <f t="shared" si="51"/>
        <v>422829</v>
      </c>
      <c r="N203" s="35">
        <f t="shared" si="51"/>
        <v>428520</v>
      </c>
      <c r="O203" s="35">
        <f t="shared" si="51"/>
        <v>420302</v>
      </c>
      <c r="P203" s="35">
        <f t="shared" si="51"/>
        <v>437636</v>
      </c>
      <c r="Q203" s="35">
        <f t="shared" si="51"/>
        <v>433334</v>
      </c>
      <c r="R203" s="35"/>
      <c r="S203" s="35">
        <f>+S127</f>
        <v>5041509</v>
      </c>
      <c r="T203" s="35">
        <f>+T127</f>
        <v>5129562</v>
      </c>
      <c r="U203" s="35">
        <f>+U127</f>
        <v>5165088</v>
      </c>
    </row>
    <row r="205" spans="2:21" x14ac:dyDescent="0.25">
      <c r="B205" t="s">
        <v>145</v>
      </c>
      <c r="C205" t="s">
        <v>208</v>
      </c>
      <c r="D205" t="s">
        <v>145</v>
      </c>
      <c r="F205" s="43">
        <f t="shared" ref="F205:Q205" si="52">+SUMIFS(F$116:F$186,$C$116:$C$186,$D205)/F$197</f>
        <v>0</v>
      </c>
      <c r="G205" s="43">
        <f t="shared" si="52"/>
        <v>0</v>
      </c>
      <c r="H205" s="43">
        <f t="shared" si="52"/>
        <v>0</v>
      </c>
      <c r="I205" s="43">
        <f t="shared" si="52"/>
        <v>0</v>
      </c>
      <c r="J205" s="43">
        <f t="shared" si="52"/>
        <v>0</v>
      </c>
      <c r="K205" s="43">
        <f t="shared" si="52"/>
        <v>0</v>
      </c>
      <c r="L205" s="43">
        <f t="shared" si="52"/>
        <v>0</v>
      </c>
      <c r="M205" s="43">
        <f t="shared" si="52"/>
        <v>0</v>
      </c>
      <c r="N205" s="43">
        <f t="shared" si="52"/>
        <v>0</v>
      </c>
      <c r="O205" s="43">
        <f t="shared" si="52"/>
        <v>0</v>
      </c>
      <c r="P205" s="43">
        <f t="shared" si="52"/>
        <v>0</v>
      </c>
      <c r="Q205" s="43">
        <f t="shared" si="52"/>
        <v>0</v>
      </c>
      <c r="R205" s="28" t="str">
        <f>+_xlfn.XLOOKUP(D205,$C$131:$C$186,$C$131:$C$186)</f>
        <v>Bonuses - Marketing</v>
      </c>
      <c r="S205" s="43">
        <f>+SUMIFS(S$116:S$186,$C$116:$C$186,$D205)/S$197</f>
        <v>0</v>
      </c>
      <c r="T205" s="43">
        <f>+SUMIFS(T$116:T$186,$C$116:$C$186,$D205)/T$197</f>
        <v>0</v>
      </c>
      <c r="U205" s="43">
        <f>+SUMIFS(U$116:U$186,$C$116:$C$186,$D205)/U$197</f>
        <v>0</v>
      </c>
    </row>
    <row r="206" spans="2:21" x14ac:dyDescent="0.25">
      <c r="B206" t="s">
        <v>146</v>
      </c>
      <c r="C206" t="s">
        <v>209</v>
      </c>
      <c r="D206" t="s">
        <v>146</v>
      </c>
      <c r="F206" s="43">
        <f t="shared" ref="F206:Q206" si="53">+SUMIFS(F$116:F$186,$C$116:$C$186,$D206)/1000</f>
        <v>0</v>
      </c>
      <c r="G206" s="43">
        <f t="shared" si="53"/>
        <v>0</v>
      </c>
      <c r="H206" s="43">
        <f t="shared" si="53"/>
        <v>0</v>
      </c>
      <c r="I206" s="43">
        <f t="shared" si="53"/>
        <v>0</v>
      </c>
      <c r="J206" s="43">
        <f t="shared" si="53"/>
        <v>0</v>
      </c>
      <c r="K206" s="43">
        <f t="shared" si="53"/>
        <v>0</v>
      </c>
      <c r="L206" s="43">
        <f t="shared" si="53"/>
        <v>0</v>
      </c>
      <c r="M206" s="43">
        <f t="shared" si="53"/>
        <v>0</v>
      </c>
      <c r="N206" s="43">
        <f t="shared" si="53"/>
        <v>0</v>
      </c>
      <c r="O206" s="43">
        <f t="shared" si="53"/>
        <v>0</v>
      </c>
      <c r="P206" s="43">
        <f t="shared" si="53"/>
        <v>0</v>
      </c>
      <c r="Q206" s="43">
        <f t="shared" si="53"/>
        <v>0</v>
      </c>
      <c r="R206" s="28" t="str">
        <f>+_xlfn.XLOOKUP(D206,$C$131:$C$186,$C$131:$C$186)</f>
        <v>Bonuses - Admin</v>
      </c>
      <c r="S206" s="43">
        <f>+SUMIFS(S$116:S$186,$C$116:$C$186,$D206)/1000</f>
        <v>0</v>
      </c>
      <c r="T206" s="43">
        <f>+SUMIFS(T$116:T$186,$C$116:$C$186,$D206)/1000</f>
        <v>0</v>
      </c>
      <c r="U206" s="43">
        <f>+SUMIFS(U$116:U$186,$C$116:$C$186,$D206)/1000</f>
        <v>0</v>
      </c>
    </row>
    <row r="207" spans="2:21" x14ac:dyDescent="0.25">
      <c r="B207" t="s">
        <v>210</v>
      </c>
      <c r="C207" t="s">
        <v>211</v>
      </c>
      <c r="D207" t="s">
        <v>210</v>
      </c>
      <c r="F207" s="31">
        <f t="shared" ref="F207:Q207" si="54">+F202/F201</f>
        <v>0.16849823999791794</v>
      </c>
      <c r="G207" s="31">
        <f t="shared" si="54"/>
        <v>0.16898595373609734</v>
      </c>
      <c r="H207" s="31">
        <f t="shared" si="54"/>
        <v>0.16919084349666758</v>
      </c>
      <c r="I207" s="31">
        <f t="shared" si="54"/>
        <v>0.16883908784536908</v>
      </c>
      <c r="J207" s="31">
        <f t="shared" si="54"/>
        <v>0.16806909347479551</v>
      </c>
      <c r="K207" s="31">
        <f t="shared" si="54"/>
        <v>0.16741842891453343</v>
      </c>
      <c r="L207" s="31">
        <f t="shared" si="54"/>
        <v>0.16735347538230183</v>
      </c>
      <c r="M207" s="31">
        <f t="shared" si="54"/>
        <v>0.16789208477932671</v>
      </c>
      <c r="N207" s="31">
        <f t="shared" si="54"/>
        <v>0.16861425873465533</v>
      </c>
      <c r="O207" s="31">
        <f t="shared" si="54"/>
        <v>0.16902423523707816</v>
      </c>
      <c r="P207" s="31">
        <f t="shared" si="54"/>
        <v>0.16895683265476563</v>
      </c>
      <c r="Q207" s="31">
        <f t="shared" si="54"/>
        <v>0.16864553989083125</v>
      </c>
      <c r="R207" s="51" t="s">
        <v>217</v>
      </c>
      <c r="S207" s="31">
        <f>+S202/S201</f>
        <v>0.16845639373668997</v>
      </c>
      <c r="T207" s="31">
        <f>+T202/T201</f>
        <v>0.16841367389633771</v>
      </c>
      <c r="U207" s="31">
        <f>+U202/U201</f>
        <v>0.16887510879025239</v>
      </c>
    </row>
    <row r="208" spans="2:21" x14ac:dyDescent="0.25">
      <c r="B208" t="s">
        <v>94</v>
      </c>
      <c r="C208" t="s">
        <v>208</v>
      </c>
      <c r="D208" t="s">
        <v>94</v>
      </c>
      <c r="F208" s="43">
        <f t="shared" ref="F208:Q208" si="55">+SUMIFS(F$116:F$186,$C$116:$C$186,$D208)/F$197</f>
        <v>26.80952380952381</v>
      </c>
      <c r="G208" s="43">
        <f t="shared" si="55"/>
        <v>26.595238095238095</v>
      </c>
      <c r="H208" s="43">
        <f t="shared" si="55"/>
        <v>26.107142857142858</v>
      </c>
      <c r="I208" s="43">
        <f t="shared" si="55"/>
        <v>25.773809523809526</v>
      </c>
      <c r="J208" s="43">
        <f t="shared" si="55"/>
        <v>25.916666666666668</v>
      </c>
      <c r="K208" s="43">
        <f t="shared" si="55"/>
        <v>26.392857142857142</v>
      </c>
      <c r="L208" s="43">
        <f t="shared" si="55"/>
        <v>26.773809523809526</v>
      </c>
      <c r="M208" s="43">
        <f t="shared" si="55"/>
        <v>26.702380952380953</v>
      </c>
      <c r="N208" s="43">
        <f t="shared" si="55"/>
        <v>26.25</v>
      </c>
      <c r="O208" s="43">
        <f t="shared" si="55"/>
        <v>25.821428571428573</v>
      </c>
      <c r="P208" s="43">
        <f t="shared" si="55"/>
        <v>25.821428571428573</v>
      </c>
      <c r="Q208" s="43">
        <f t="shared" si="55"/>
        <v>26.25</v>
      </c>
      <c r="R208" s="28" t="str">
        <f t="shared" ref="R208:R227" si="56">+_xlfn.XLOOKUP(D208,$C$131:$C$186,$C$131:$C$186)</f>
        <v>Culinary</v>
      </c>
      <c r="S208" s="43">
        <f>+SUMIFS(S$116:S$186,$C$116:$C$186,$D208)/S$197</f>
        <v>315.21428571428572</v>
      </c>
      <c r="T208" s="43">
        <f>+SUMIFS(T$116:T$186,$C$116:$C$186,$D208)/T$197</f>
        <v>315.23809523809524</v>
      </c>
      <c r="U208" s="43">
        <f>+SUMIFS(U$116:U$186,$C$116:$C$186,$D208)/U$197</f>
        <v>311.57142857142856</v>
      </c>
    </row>
    <row r="209" spans="2:21" x14ac:dyDescent="0.25">
      <c r="B209" t="s">
        <v>92</v>
      </c>
      <c r="C209" t="s">
        <v>212</v>
      </c>
      <c r="D209" t="s">
        <v>92</v>
      </c>
      <c r="F209" s="43">
        <f t="shared" ref="F209:Q209" si="57">+IFERROR(SUMIFS(F$116:F$186,$C$116:$C$186,$D209)/F$200,0)</f>
        <v>6.460245343025897</v>
      </c>
      <c r="G209" s="43">
        <f t="shared" si="57"/>
        <v>6.299602297834733</v>
      </c>
      <c r="H209" s="43">
        <f t="shared" si="57"/>
        <v>6.3639639639639638</v>
      </c>
      <c r="I209" s="43">
        <f t="shared" si="57"/>
        <v>6.1480335837384006</v>
      </c>
      <c r="J209" s="43">
        <f t="shared" si="57"/>
        <v>6.0263157894736841</v>
      </c>
      <c r="K209" s="43">
        <f t="shared" si="57"/>
        <v>5.8217317487266556</v>
      </c>
      <c r="L209" s="43">
        <f t="shared" si="57"/>
        <v>5.8803056027164686</v>
      </c>
      <c r="M209" s="43">
        <f t="shared" si="57"/>
        <v>6.7004761904761905</v>
      </c>
      <c r="N209" s="43">
        <f t="shared" si="57"/>
        <v>6.0420203735144309</v>
      </c>
      <c r="O209" s="43">
        <f t="shared" si="57"/>
        <v>6.2486842105263154</v>
      </c>
      <c r="P209" s="43">
        <f t="shared" si="57"/>
        <v>5.8308519437551691</v>
      </c>
      <c r="Q209" s="43">
        <f t="shared" si="57"/>
        <v>5.9324786324786327</v>
      </c>
      <c r="R209" s="28" t="str">
        <f t="shared" si="56"/>
        <v>Raw Food</v>
      </c>
      <c r="S209" s="43">
        <f>+IFERROR(SUMIFS(S$116:S$186,$C$116:$C$186,$D209)/S$200,0)</f>
        <v>6.1371341085553892</v>
      </c>
      <c r="T209" s="43">
        <f>+IFERROR(SUMIFS(T$116:T$186,$C$116:$C$186,$D209)/T$200,0)</f>
        <v>6.092996389891697</v>
      </c>
      <c r="U209" s="43">
        <f>+IFERROR(SUMIFS(U$116:U$186,$C$116:$C$186,$D209)/U$200,0)</f>
        <v>6</v>
      </c>
    </row>
    <row r="210" spans="2:21" x14ac:dyDescent="0.25">
      <c r="B210" t="s">
        <v>160</v>
      </c>
      <c r="C210" t="s">
        <v>208</v>
      </c>
      <c r="D210" t="s">
        <v>160</v>
      </c>
      <c r="F210" s="43">
        <f t="shared" ref="F210:Q210" si="58">+SUMIFS(F$116:F$186,$C$116:$C$186,$D210)/F$197</f>
        <v>0</v>
      </c>
      <c r="G210" s="43">
        <f t="shared" si="58"/>
        <v>0</v>
      </c>
      <c r="H210" s="43">
        <f t="shared" si="58"/>
        <v>0</v>
      </c>
      <c r="I210" s="43">
        <f t="shared" si="58"/>
        <v>0</v>
      </c>
      <c r="J210" s="43">
        <f t="shared" si="58"/>
        <v>0</v>
      </c>
      <c r="K210" s="43">
        <f t="shared" si="58"/>
        <v>0</v>
      </c>
      <c r="L210" s="43">
        <f t="shared" si="58"/>
        <v>0</v>
      </c>
      <c r="M210" s="43">
        <f t="shared" si="58"/>
        <v>0</v>
      </c>
      <c r="N210" s="43">
        <f t="shared" si="58"/>
        <v>0</v>
      </c>
      <c r="O210" s="43">
        <f t="shared" si="58"/>
        <v>0</v>
      </c>
      <c r="P210" s="43">
        <f t="shared" si="58"/>
        <v>0</v>
      </c>
      <c r="Q210" s="43">
        <f t="shared" si="58"/>
        <v>0</v>
      </c>
      <c r="R210" s="28" t="str">
        <f t="shared" si="56"/>
        <v>Activities</v>
      </c>
      <c r="S210" s="43">
        <f>+SUMIFS(S$116:S$186,$C$116:$C$186,$D210)/S$197</f>
        <v>0</v>
      </c>
      <c r="T210" s="43">
        <f>+SUMIFS(T$116:T$186,$C$116:$C$186,$D210)/T$197</f>
        <v>0</v>
      </c>
      <c r="U210" s="43">
        <f>+SUMIFS(U$116:U$186,$C$116:$C$186,$D210)/U$197</f>
        <v>0</v>
      </c>
    </row>
    <row r="211" spans="2:21" x14ac:dyDescent="0.25">
      <c r="B211" t="s">
        <v>102</v>
      </c>
      <c r="C211" t="s">
        <v>212</v>
      </c>
      <c r="D211" t="s">
        <v>102</v>
      </c>
      <c r="F211" s="43">
        <f t="shared" ref="F211:Q211" si="59">+IFERROR(SUMIFS(F$116:F$186,$C$116:$C$186,$D211)/F$200,0)</f>
        <v>1.5174920490686052</v>
      </c>
      <c r="G211" s="43">
        <f t="shared" si="59"/>
        <v>1.4396818382677861</v>
      </c>
      <c r="H211" s="43">
        <f t="shared" si="59"/>
        <v>1.4707207207207207</v>
      </c>
      <c r="I211" s="43">
        <f t="shared" si="59"/>
        <v>1.4803358373840034</v>
      </c>
      <c r="J211" s="43">
        <f t="shared" si="59"/>
        <v>1.4789473684210526</v>
      </c>
      <c r="K211" s="43">
        <f t="shared" si="59"/>
        <v>1.398132427843803</v>
      </c>
      <c r="L211" s="43">
        <f t="shared" si="59"/>
        <v>1.3777589134125636</v>
      </c>
      <c r="M211" s="43">
        <f t="shared" si="59"/>
        <v>1.5752380952380953</v>
      </c>
      <c r="N211" s="43">
        <f t="shared" si="59"/>
        <v>1.432937181663837</v>
      </c>
      <c r="O211" s="43">
        <f t="shared" si="59"/>
        <v>1.4640350877192982</v>
      </c>
      <c r="P211" s="43">
        <f t="shared" si="59"/>
        <v>1.3469809760132341</v>
      </c>
      <c r="Q211" s="43">
        <f t="shared" si="59"/>
        <v>1.3961538461538461</v>
      </c>
      <c r="R211" s="28" t="str">
        <f t="shared" si="56"/>
        <v>Direct Care</v>
      </c>
      <c r="S211" s="43">
        <f>+IFERROR(SUMIFS(S$116:S$186,$C$116:$C$186,$D211)/S$200,0)</f>
        <v>1.4461050559545074</v>
      </c>
      <c r="T211" s="43">
        <f>+IFERROR(SUMIFS(T$116:T$186,$C$116:$C$186,$D211)/T$200,0)</f>
        <v>1.4290252707581228</v>
      </c>
      <c r="U211" s="43">
        <f>+IFERROR(SUMIFS(U$116:U$186,$C$116:$C$186,$D211)/U$200,0)</f>
        <v>1.4012503552145497</v>
      </c>
    </row>
    <row r="212" spans="2:21" x14ac:dyDescent="0.25">
      <c r="B212" t="s">
        <v>161</v>
      </c>
      <c r="C212" t="s">
        <v>213</v>
      </c>
      <c r="D212" t="s">
        <v>161</v>
      </c>
      <c r="F212" s="31">
        <f t="shared" ref="F212:Q212" si="60">+SUMIFS(F$116:F$186,$C$116:$C$186,$D212)/SUM(F116:F120,F124:F125)</f>
        <v>0</v>
      </c>
      <c r="G212" s="31">
        <f t="shared" si="60"/>
        <v>0</v>
      </c>
      <c r="H212" s="31">
        <f t="shared" si="60"/>
        <v>0</v>
      </c>
      <c r="I212" s="31">
        <f t="shared" si="60"/>
        <v>0</v>
      </c>
      <c r="J212" s="31">
        <f t="shared" si="60"/>
        <v>0</v>
      </c>
      <c r="K212" s="31">
        <f t="shared" si="60"/>
        <v>0</v>
      </c>
      <c r="L212" s="31">
        <f t="shared" si="60"/>
        <v>0</v>
      </c>
      <c r="M212" s="31">
        <f t="shared" si="60"/>
        <v>0</v>
      </c>
      <c r="N212" s="31">
        <f t="shared" si="60"/>
        <v>0</v>
      </c>
      <c r="O212" s="31">
        <f t="shared" si="60"/>
        <v>0</v>
      </c>
      <c r="P212" s="31">
        <f t="shared" si="60"/>
        <v>0</v>
      </c>
      <c r="Q212" s="31">
        <f t="shared" si="60"/>
        <v>0</v>
      </c>
      <c r="R212" s="51" t="str">
        <f t="shared" si="56"/>
        <v>COGS</v>
      </c>
      <c r="S212" s="31">
        <f>+SUMIFS(S$116:S$186,$C$116:$C$186,$D212)/SUM(S116:S120,S124:S125)</f>
        <v>0</v>
      </c>
      <c r="T212" s="31">
        <f>+SUMIFS(T$116:T$186,$C$116:$C$186,$D212)/SUM(T116:T120,T124:T125)</f>
        <v>0</v>
      </c>
      <c r="U212" s="31">
        <f>+SUMIFS(U$116:U$186,$C$116:$C$186,$D212)/SUM(U116:U120,U124:U125)</f>
        <v>0</v>
      </c>
    </row>
    <row r="213" spans="2:21" x14ac:dyDescent="0.25">
      <c r="B213" t="s">
        <v>106</v>
      </c>
      <c r="C213" t="s">
        <v>208</v>
      </c>
      <c r="D213" t="s">
        <v>106</v>
      </c>
      <c r="F213" s="43">
        <f t="shared" ref="F213:Q215" si="61">+SUMIFS(F$116:F$186,$C$116:$C$186,$D213)/F$197</f>
        <v>79.297619047619051</v>
      </c>
      <c r="G213" s="43">
        <f t="shared" si="61"/>
        <v>76.69047619047619</v>
      </c>
      <c r="H213" s="43">
        <f t="shared" si="61"/>
        <v>75.714285714285708</v>
      </c>
      <c r="I213" s="43">
        <f t="shared" si="61"/>
        <v>77.11904761904762</v>
      </c>
      <c r="J213" s="43">
        <f t="shared" si="61"/>
        <v>79.845238095238102</v>
      </c>
      <c r="K213" s="43">
        <f t="shared" si="61"/>
        <v>81.821428571428569</v>
      </c>
      <c r="L213" s="43">
        <f t="shared" si="61"/>
        <v>81.547619047619051</v>
      </c>
      <c r="M213" s="43">
        <f t="shared" si="61"/>
        <v>79.25</v>
      </c>
      <c r="N213" s="43">
        <f t="shared" si="61"/>
        <v>76.654761904761898</v>
      </c>
      <c r="O213" s="43">
        <f t="shared" si="61"/>
        <v>75.714285714285708</v>
      </c>
      <c r="P213" s="43">
        <f t="shared" si="61"/>
        <v>77.166666666666671</v>
      </c>
      <c r="Q213" s="43">
        <f t="shared" si="61"/>
        <v>79.892857142857139</v>
      </c>
      <c r="R213" s="28" t="str">
        <f t="shared" si="56"/>
        <v>Maintenance</v>
      </c>
      <c r="S213" s="43">
        <f t="shared" ref="S213:U215" si="62">+SUMIFS(S$116:S$186,$C$116:$C$186,$D213)/S$197</f>
        <v>940.71428571428567</v>
      </c>
      <c r="T213" s="43">
        <f t="shared" si="62"/>
        <v>940.45238095238096</v>
      </c>
      <c r="U213" s="43">
        <f t="shared" si="62"/>
        <v>931.09523809523807</v>
      </c>
    </row>
    <row r="214" spans="2:21" x14ac:dyDescent="0.25">
      <c r="B214" t="s">
        <v>108</v>
      </c>
      <c r="C214" t="s">
        <v>208</v>
      </c>
      <c r="D214" t="s">
        <v>108</v>
      </c>
      <c r="F214" s="43">
        <f t="shared" si="61"/>
        <v>224.46428571428572</v>
      </c>
      <c r="G214" s="43">
        <f t="shared" si="61"/>
        <v>230.21428571428572</v>
      </c>
      <c r="H214" s="43">
        <f t="shared" si="61"/>
        <v>207.10714285714286</v>
      </c>
      <c r="I214" s="43">
        <f t="shared" si="61"/>
        <v>200.21428571428572</v>
      </c>
      <c r="J214" s="43">
        <f t="shared" si="61"/>
        <v>214.72619047619048</v>
      </c>
      <c r="K214" s="43">
        <f t="shared" si="61"/>
        <v>244.46428571428572</v>
      </c>
      <c r="L214" s="43">
        <f t="shared" si="61"/>
        <v>258.04761904761904</v>
      </c>
      <c r="M214" s="43">
        <f t="shared" si="61"/>
        <v>248.13095238095238</v>
      </c>
      <c r="N214" s="43">
        <f t="shared" si="61"/>
        <v>220.52380952380952</v>
      </c>
      <c r="O214" s="43">
        <f t="shared" si="61"/>
        <v>194.46428571428572</v>
      </c>
      <c r="P214" s="43">
        <f t="shared" si="61"/>
        <v>191.9404761904762</v>
      </c>
      <c r="Q214" s="43">
        <f t="shared" si="61"/>
        <v>215.04761904761904</v>
      </c>
      <c r="R214" s="28" t="str">
        <f t="shared" si="56"/>
        <v>Utilities</v>
      </c>
      <c r="S214" s="43">
        <f t="shared" si="62"/>
        <v>2649.3452380952381</v>
      </c>
      <c r="T214" s="43">
        <f t="shared" si="62"/>
        <v>2656.3095238095239</v>
      </c>
      <c r="U214" s="43">
        <f t="shared" si="62"/>
        <v>2405.8095238095239</v>
      </c>
    </row>
    <row r="215" spans="2:21" x14ac:dyDescent="0.25">
      <c r="B215" t="s">
        <v>115</v>
      </c>
      <c r="C215" t="s">
        <v>208</v>
      </c>
      <c r="D215" t="s">
        <v>115</v>
      </c>
      <c r="F215" s="43">
        <f t="shared" si="61"/>
        <v>31.19047619047619</v>
      </c>
      <c r="G215" s="43">
        <f t="shared" si="61"/>
        <v>30.571428571428573</v>
      </c>
      <c r="H215" s="43">
        <f t="shared" si="61"/>
        <v>30.071428571428573</v>
      </c>
      <c r="I215" s="43">
        <f t="shared" si="61"/>
        <v>30.333333333333332</v>
      </c>
      <c r="J215" s="43">
        <f t="shared" si="61"/>
        <v>31.023809523809526</v>
      </c>
      <c r="K215" s="43">
        <f t="shared" si="61"/>
        <v>31.261904761904763</v>
      </c>
      <c r="L215" s="43">
        <f t="shared" si="61"/>
        <v>30.738095238095237</v>
      </c>
      <c r="M215" s="43">
        <f t="shared" si="61"/>
        <v>30.13095238095238</v>
      </c>
      <c r="N215" s="43">
        <f t="shared" si="61"/>
        <v>30.202380952380953</v>
      </c>
      <c r="O215" s="43">
        <f t="shared" si="61"/>
        <v>30.86904761904762</v>
      </c>
      <c r="P215" s="43">
        <f t="shared" si="61"/>
        <v>31.273809523809526</v>
      </c>
      <c r="Q215" s="43">
        <f t="shared" si="61"/>
        <v>30.904761904761905</v>
      </c>
      <c r="R215" s="28" t="str">
        <f t="shared" si="56"/>
        <v>Housekeeping</v>
      </c>
      <c r="S215" s="43">
        <f t="shared" si="62"/>
        <v>368.57142857142856</v>
      </c>
      <c r="T215" s="43">
        <f t="shared" si="62"/>
        <v>368.23809523809524</v>
      </c>
      <c r="U215" s="43">
        <f t="shared" si="62"/>
        <v>372.1904761904762</v>
      </c>
    </row>
    <row r="216" spans="2:21" x14ac:dyDescent="0.25">
      <c r="B216" t="s">
        <v>128</v>
      </c>
      <c r="C216" t="s">
        <v>209</v>
      </c>
      <c r="D216" t="s">
        <v>128</v>
      </c>
      <c r="F216" s="43">
        <f t="shared" ref="F216:Q216" si="63">+SUMIFS(F$116:F$186,$C$116:$C$186,$D216)/1000+(F172+F173+F174)/1000</f>
        <v>4.1280000000000001</v>
      </c>
      <c r="G216" s="43">
        <f t="shared" si="63"/>
        <v>4.1619999999999999</v>
      </c>
      <c r="H216" s="43">
        <f t="shared" si="63"/>
        <v>4.34</v>
      </c>
      <c r="I216" s="43">
        <f t="shared" si="63"/>
        <v>4.2960000000000003</v>
      </c>
      <c r="J216" s="43">
        <f t="shared" si="63"/>
        <v>4.12</v>
      </c>
      <c r="K216" s="43">
        <f t="shared" si="63"/>
        <v>4.1749999999999998</v>
      </c>
      <c r="L216" s="43">
        <f t="shared" si="63"/>
        <v>4.3470000000000004</v>
      </c>
      <c r="M216" s="43">
        <f t="shared" si="63"/>
        <v>4.282</v>
      </c>
      <c r="N216" s="43">
        <f t="shared" si="63"/>
        <v>4.1139999999999999</v>
      </c>
      <c r="O216" s="43">
        <f t="shared" si="63"/>
        <v>4.1890000000000001</v>
      </c>
      <c r="P216" s="43">
        <f t="shared" si="63"/>
        <v>4.3529999999999998</v>
      </c>
      <c r="Q216" s="43">
        <f t="shared" si="63"/>
        <v>4.2679999999999998</v>
      </c>
      <c r="R216" s="28" t="str">
        <f t="shared" si="56"/>
        <v>Admin</v>
      </c>
      <c r="S216" s="43">
        <f>+SUMIFS(S$116:S$186,$C$116:$C$186,$D216)/1000+(S172+S173+S174)/1000</f>
        <v>50.774000000000001</v>
      </c>
      <c r="T216" s="43">
        <f>+SUMIFS(T$116:T$186,$C$116:$C$186,$D216)/1000+(T172+T173+T174)/1000</f>
        <v>51.106000000000002</v>
      </c>
      <c r="U216" s="43">
        <f>+SUMIFS(U$116:U$186,$C$116:$C$186,$D216)/1000+(U172+U173+U174)/1000</f>
        <v>51.24</v>
      </c>
    </row>
    <row r="217" spans="2:21" x14ac:dyDescent="0.25">
      <c r="B217" t="s">
        <v>135</v>
      </c>
      <c r="C217" t="s">
        <v>208</v>
      </c>
      <c r="D217" t="s">
        <v>135</v>
      </c>
      <c r="F217" s="43">
        <f t="shared" ref="F217:Q217" si="64">+SUMIFS(F$116:F$186,$C$116:$C$186,$D217)/F$197</f>
        <v>36.321428571428569</v>
      </c>
      <c r="G217" s="43">
        <f t="shared" si="64"/>
        <v>36.452380952380949</v>
      </c>
      <c r="H217" s="43">
        <f t="shared" si="64"/>
        <v>36.5</v>
      </c>
      <c r="I217" s="43">
        <f t="shared" si="64"/>
        <v>36.476190476190474</v>
      </c>
      <c r="J217" s="43">
        <f t="shared" si="64"/>
        <v>36.357142857142854</v>
      </c>
      <c r="K217" s="43">
        <f t="shared" si="64"/>
        <v>36.19047619047619</v>
      </c>
      <c r="L217" s="43">
        <f t="shared" si="64"/>
        <v>36.011904761904759</v>
      </c>
      <c r="M217" s="43">
        <f t="shared" si="64"/>
        <v>35.86904761904762</v>
      </c>
      <c r="N217" s="43">
        <f t="shared" si="64"/>
        <v>35.785714285714285</v>
      </c>
      <c r="O217" s="43">
        <f t="shared" si="64"/>
        <v>35.797619047619051</v>
      </c>
      <c r="P217" s="43">
        <f t="shared" si="64"/>
        <v>35.892857142857146</v>
      </c>
      <c r="Q217" s="43">
        <f t="shared" si="64"/>
        <v>36.047619047619051</v>
      </c>
      <c r="R217" s="28" t="str">
        <f t="shared" si="56"/>
        <v>Insurance - Workers Comp</v>
      </c>
      <c r="S217" s="43">
        <f>+SUMIFS(S$116:S$186,$C$116:$C$186,$D217)/S$197</f>
        <v>433.70238095238096</v>
      </c>
      <c r="T217" s="43">
        <f>+SUMIFS(T$116:T$186,$C$116:$C$186,$D217)/T$197</f>
        <v>430.8095238095238</v>
      </c>
      <c r="U217" s="43">
        <f>+SUMIFS(U$116:U$186,$C$116:$C$186,$D217)/U$197</f>
        <v>430.95238095238096</v>
      </c>
    </row>
    <row r="218" spans="2:21" x14ac:dyDescent="0.25">
      <c r="B218" t="s">
        <v>164</v>
      </c>
      <c r="C218" t="s">
        <v>211</v>
      </c>
      <c r="D218" t="s">
        <v>164</v>
      </c>
      <c r="F218" s="31">
        <f t="shared" ref="F218:Q218" si="65">+F176/F201</f>
        <v>0</v>
      </c>
      <c r="G218" s="31">
        <f t="shared" si="65"/>
        <v>0</v>
      </c>
      <c r="H218" s="31">
        <f t="shared" si="65"/>
        <v>0</v>
      </c>
      <c r="I218" s="31">
        <f t="shared" si="65"/>
        <v>0</v>
      </c>
      <c r="J218" s="31">
        <f t="shared" si="65"/>
        <v>0</v>
      </c>
      <c r="K218" s="31">
        <f t="shared" si="65"/>
        <v>0</v>
      </c>
      <c r="L218" s="31">
        <f t="shared" si="65"/>
        <v>0</v>
      </c>
      <c r="M218" s="31">
        <f t="shared" si="65"/>
        <v>0</v>
      </c>
      <c r="N218" s="31">
        <f t="shared" si="65"/>
        <v>0</v>
      </c>
      <c r="O218" s="31">
        <f t="shared" si="65"/>
        <v>0</v>
      </c>
      <c r="P218" s="31">
        <f t="shared" si="65"/>
        <v>0</v>
      </c>
      <c r="Q218" s="31">
        <f t="shared" si="65"/>
        <v>0</v>
      </c>
      <c r="R218" s="51" t="str">
        <f t="shared" si="56"/>
        <v>Admin - Health &amp; Dental</v>
      </c>
      <c r="S218" s="31">
        <f>+S176/S201</f>
        <v>0</v>
      </c>
      <c r="T218" s="31">
        <f>+T176/T201</f>
        <v>0</v>
      </c>
      <c r="U218" s="31">
        <f>+U176/U201</f>
        <v>0</v>
      </c>
    </row>
    <row r="219" spans="2:21" x14ac:dyDescent="0.25">
      <c r="B219" t="s">
        <v>125</v>
      </c>
      <c r="C219" t="s">
        <v>209</v>
      </c>
      <c r="D219" t="s">
        <v>125</v>
      </c>
      <c r="F219" s="43">
        <f t="shared" ref="F219:Q224" si="66">+SUMIFS(F$116:F$186,$C$116:$C$186,$D219)/1000</f>
        <v>2.76</v>
      </c>
      <c r="G219" s="43">
        <f t="shared" si="66"/>
        <v>2.76</v>
      </c>
      <c r="H219" s="43">
        <f t="shared" si="66"/>
        <v>2.76</v>
      </c>
      <c r="I219" s="43">
        <f t="shared" si="66"/>
        <v>2.76</v>
      </c>
      <c r="J219" s="43">
        <f t="shared" si="66"/>
        <v>2.76</v>
      </c>
      <c r="K219" s="43">
        <f t="shared" si="66"/>
        <v>2.76</v>
      </c>
      <c r="L219" s="43">
        <f t="shared" si="66"/>
        <v>2.76</v>
      </c>
      <c r="M219" s="43">
        <f t="shared" si="66"/>
        <v>2.76</v>
      </c>
      <c r="N219" s="43">
        <f t="shared" si="66"/>
        <v>2.76</v>
      </c>
      <c r="O219" s="43">
        <f t="shared" si="66"/>
        <v>2.76</v>
      </c>
      <c r="P219" s="43">
        <f t="shared" si="66"/>
        <v>2.76</v>
      </c>
      <c r="Q219" s="43">
        <f t="shared" si="66"/>
        <v>2.76</v>
      </c>
      <c r="R219" s="28" t="str">
        <f t="shared" si="56"/>
        <v>Admin - IT</v>
      </c>
      <c r="S219" s="43">
        <f t="shared" ref="S219:U224" si="67">+SUMIFS(S$116:S$186,$C$116:$C$186,$D219)/1000</f>
        <v>33.119999999999997</v>
      </c>
      <c r="T219" s="43">
        <f t="shared" si="67"/>
        <v>33.119999999999997</v>
      </c>
      <c r="U219" s="43">
        <f t="shared" si="67"/>
        <v>33.119999999999997</v>
      </c>
    </row>
    <row r="220" spans="2:21" x14ac:dyDescent="0.25">
      <c r="B220" t="s">
        <v>167</v>
      </c>
      <c r="C220" t="s">
        <v>209</v>
      </c>
      <c r="D220" t="s">
        <v>167</v>
      </c>
      <c r="F220" s="43">
        <f t="shared" si="66"/>
        <v>0</v>
      </c>
      <c r="G220" s="43">
        <f t="shared" si="66"/>
        <v>0</v>
      </c>
      <c r="H220" s="43">
        <f t="shared" si="66"/>
        <v>0</v>
      </c>
      <c r="I220" s="43">
        <f t="shared" si="66"/>
        <v>0</v>
      </c>
      <c r="J220" s="43">
        <f t="shared" si="66"/>
        <v>0</v>
      </c>
      <c r="K220" s="43">
        <f t="shared" si="66"/>
        <v>0</v>
      </c>
      <c r="L220" s="43">
        <f t="shared" si="66"/>
        <v>0</v>
      </c>
      <c r="M220" s="43">
        <f t="shared" si="66"/>
        <v>0</v>
      </c>
      <c r="N220" s="43">
        <f t="shared" si="66"/>
        <v>0</v>
      </c>
      <c r="O220" s="43">
        <f t="shared" si="66"/>
        <v>0</v>
      </c>
      <c r="P220" s="43">
        <f t="shared" si="66"/>
        <v>0</v>
      </c>
      <c r="Q220" s="43">
        <f t="shared" si="66"/>
        <v>0</v>
      </c>
      <c r="R220" s="28" t="str">
        <f t="shared" si="56"/>
        <v>Admin - Telephone</v>
      </c>
      <c r="S220" s="43">
        <f t="shared" si="67"/>
        <v>0</v>
      </c>
      <c r="T220" s="43">
        <f t="shared" si="67"/>
        <v>0</v>
      </c>
      <c r="U220" s="43">
        <f t="shared" si="67"/>
        <v>0</v>
      </c>
    </row>
    <row r="221" spans="2:21" x14ac:dyDescent="0.25">
      <c r="B221" t="s">
        <v>166</v>
      </c>
      <c r="C221" t="s">
        <v>209</v>
      </c>
      <c r="D221" t="s">
        <v>166</v>
      </c>
      <c r="F221" s="43">
        <f t="shared" si="66"/>
        <v>0</v>
      </c>
      <c r="G221" s="43">
        <f t="shared" si="66"/>
        <v>0</v>
      </c>
      <c r="H221" s="43">
        <f t="shared" si="66"/>
        <v>0</v>
      </c>
      <c r="I221" s="43">
        <f t="shared" si="66"/>
        <v>0</v>
      </c>
      <c r="J221" s="43">
        <f t="shared" si="66"/>
        <v>0</v>
      </c>
      <c r="K221" s="43">
        <f t="shared" si="66"/>
        <v>0</v>
      </c>
      <c r="L221" s="43">
        <f t="shared" si="66"/>
        <v>0</v>
      </c>
      <c r="M221" s="43">
        <f t="shared" si="66"/>
        <v>0</v>
      </c>
      <c r="N221" s="43">
        <f t="shared" si="66"/>
        <v>0</v>
      </c>
      <c r="O221" s="43">
        <f t="shared" si="66"/>
        <v>0</v>
      </c>
      <c r="P221" s="43">
        <f t="shared" si="66"/>
        <v>0</v>
      </c>
      <c r="Q221" s="43">
        <f t="shared" si="66"/>
        <v>0</v>
      </c>
      <c r="R221" s="28" t="str">
        <f t="shared" si="56"/>
        <v>Admin - Travel</v>
      </c>
      <c r="S221" s="43">
        <f t="shared" si="67"/>
        <v>0</v>
      </c>
      <c r="T221" s="43">
        <f t="shared" si="67"/>
        <v>0</v>
      </c>
      <c r="U221" s="43">
        <f t="shared" si="67"/>
        <v>0</v>
      </c>
    </row>
    <row r="222" spans="2:21" x14ac:dyDescent="0.25">
      <c r="B222" t="s">
        <v>170</v>
      </c>
      <c r="C222" t="s">
        <v>209</v>
      </c>
      <c r="D222" t="s">
        <v>170</v>
      </c>
      <c r="F222" s="43">
        <f t="shared" si="66"/>
        <v>0</v>
      </c>
      <c r="G222" s="43">
        <f t="shared" si="66"/>
        <v>0</v>
      </c>
      <c r="H222" s="43">
        <f t="shared" si="66"/>
        <v>0</v>
      </c>
      <c r="I222" s="43">
        <f t="shared" si="66"/>
        <v>0</v>
      </c>
      <c r="J222" s="43">
        <f t="shared" si="66"/>
        <v>0</v>
      </c>
      <c r="K222" s="43">
        <f t="shared" si="66"/>
        <v>0</v>
      </c>
      <c r="L222" s="43">
        <f t="shared" si="66"/>
        <v>0</v>
      </c>
      <c r="M222" s="43">
        <f t="shared" si="66"/>
        <v>0</v>
      </c>
      <c r="N222" s="43">
        <f t="shared" si="66"/>
        <v>0</v>
      </c>
      <c r="O222" s="43">
        <f t="shared" si="66"/>
        <v>0</v>
      </c>
      <c r="P222" s="43">
        <f t="shared" si="66"/>
        <v>0</v>
      </c>
      <c r="Q222" s="43">
        <f t="shared" si="66"/>
        <v>0</v>
      </c>
      <c r="R222" s="28" t="str">
        <f t="shared" si="56"/>
        <v>Admin - Bank &amp; Payroll Fees</v>
      </c>
      <c r="S222" s="43">
        <f t="shared" si="67"/>
        <v>0</v>
      </c>
      <c r="T222" s="43">
        <f t="shared" si="67"/>
        <v>0</v>
      </c>
      <c r="U222" s="43">
        <f t="shared" si="67"/>
        <v>0</v>
      </c>
    </row>
    <row r="223" spans="2:21" x14ac:dyDescent="0.25">
      <c r="B223" t="s">
        <v>165</v>
      </c>
      <c r="C223" t="s">
        <v>209</v>
      </c>
      <c r="D223" t="s">
        <v>165</v>
      </c>
      <c r="F223" s="43">
        <f t="shared" si="66"/>
        <v>0</v>
      </c>
      <c r="G223" s="43">
        <f t="shared" si="66"/>
        <v>0</v>
      </c>
      <c r="H223" s="43">
        <f t="shared" si="66"/>
        <v>0</v>
      </c>
      <c r="I223" s="43">
        <f t="shared" si="66"/>
        <v>0</v>
      </c>
      <c r="J223" s="43">
        <f t="shared" si="66"/>
        <v>0</v>
      </c>
      <c r="K223" s="43">
        <f t="shared" si="66"/>
        <v>0</v>
      </c>
      <c r="L223" s="43">
        <f t="shared" si="66"/>
        <v>0</v>
      </c>
      <c r="M223" s="43">
        <f t="shared" si="66"/>
        <v>0</v>
      </c>
      <c r="N223" s="43">
        <f t="shared" si="66"/>
        <v>0</v>
      </c>
      <c r="O223" s="43">
        <f t="shared" si="66"/>
        <v>0</v>
      </c>
      <c r="P223" s="43">
        <f t="shared" si="66"/>
        <v>0</v>
      </c>
      <c r="Q223" s="43">
        <f t="shared" si="66"/>
        <v>0</v>
      </c>
      <c r="R223" s="28" t="str">
        <f t="shared" si="56"/>
        <v>Admin - Vehicle Lease</v>
      </c>
      <c r="S223" s="43">
        <f t="shared" si="67"/>
        <v>0</v>
      </c>
      <c r="T223" s="43">
        <f t="shared" si="67"/>
        <v>0</v>
      </c>
      <c r="U223" s="43">
        <f t="shared" si="67"/>
        <v>0</v>
      </c>
    </row>
    <row r="224" spans="2:21" x14ac:dyDescent="0.25">
      <c r="B224" t="s">
        <v>139</v>
      </c>
      <c r="C224" t="s">
        <v>209</v>
      </c>
      <c r="D224" t="s">
        <v>139</v>
      </c>
      <c r="F224" s="43">
        <f t="shared" si="66"/>
        <v>12.88</v>
      </c>
      <c r="G224" s="43">
        <f t="shared" si="66"/>
        <v>12.88</v>
      </c>
      <c r="H224" s="43">
        <f t="shared" si="66"/>
        <v>12.88</v>
      </c>
      <c r="I224" s="43">
        <f t="shared" si="66"/>
        <v>12.88</v>
      </c>
      <c r="J224" s="43">
        <f t="shared" si="66"/>
        <v>12.88</v>
      </c>
      <c r="K224" s="43">
        <f t="shared" si="66"/>
        <v>12.88</v>
      </c>
      <c r="L224" s="43">
        <f t="shared" si="66"/>
        <v>12.88</v>
      </c>
      <c r="M224" s="43">
        <f t="shared" si="66"/>
        <v>12.88</v>
      </c>
      <c r="N224" s="43">
        <f t="shared" si="66"/>
        <v>12.88</v>
      </c>
      <c r="O224" s="43">
        <f t="shared" si="66"/>
        <v>12.88</v>
      </c>
      <c r="P224" s="43">
        <f t="shared" si="66"/>
        <v>12.88</v>
      </c>
      <c r="Q224" s="43">
        <f t="shared" si="66"/>
        <v>12.88</v>
      </c>
      <c r="R224" s="28" t="str">
        <f t="shared" si="56"/>
        <v>Real Estate Taxes</v>
      </c>
      <c r="S224" s="43">
        <f t="shared" si="67"/>
        <v>154.56</v>
      </c>
      <c r="T224" s="43">
        <f t="shared" si="67"/>
        <v>154.56</v>
      </c>
      <c r="U224" s="43">
        <f t="shared" si="67"/>
        <v>154.56</v>
      </c>
    </row>
    <row r="225" spans="2:21" x14ac:dyDescent="0.25">
      <c r="B225" t="s">
        <v>172</v>
      </c>
      <c r="C225" t="s">
        <v>214</v>
      </c>
      <c r="D225" t="s">
        <v>172</v>
      </c>
      <c r="F225" s="43">
        <f t="shared" ref="F225:Q226" si="68">+SUMIFS(F$116:F$186,$C$116:$C$186,$D225)/F$197</f>
        <v>0</v>
      </c>
      <c r="G225" s="43">
        <f t="shared" si="68"/>
        <v>0</v>
      </c>
      <c r="H225" s="43">
        <f t="shared" si="68"/>
        <v>0</v>
      </c>
      <c r="I225" s="43">
        <f t="shared" si="68"/>
        <v>0</v>
      </c>
      <c r="J225" s="43">
        <f t="shared" si="68"/>
        <v>0</v>
      </c>
      <c r="K225" s="43">
        <f t="shared" si="68"/>
        <v>0</v>
      </c>
      <c r="L225" s="43">
        <f t="shared" si="68"/>
        <v>0</v>
      </c>
      <c r="M225" s="43">
        <f t="shared" si="68"/>
        <v>0</v>
      </c>
      <c r="N225" s="43">
        <f t="shared" si="68"/>
        <v>0</v>
      </c>
      <c r="O225" s="43">
        <f t="shared" si="68"/>
        <v>0</v>
      </c>
      <c r="P225" s="43">
        <f t="shared" si="68"/>
        <v>0</v>
      </c>
      <c r="Q225" s="43">
        <f t="shared" si="68"/>
        <v>0</v>
      </c>
      <c r="R225" s="28" t="str">
        <f t="shared" si="56"/>
        <v>Insurance - Other</v>
      </c>
      <c r="S225" s="43">
        <f t="shared" ref="S225:U226" si="69">+SUMIFS(S$116:S$186,$C$116:$C$186,$D225)/S$197</f>
        <v>0</v>
      </c>
      <c r="T225" s="43">
        <f t="shared" si="69"/>
        <v>0</v>
      </c>
      <c r="U225" s="43">
        <f t="shared" si="69"/>
        <v>0</v>
      </c>
    </row>
    <row r="226" spans="2:21" x14ac:dyDescent="0.25">
      <c r="B226" t="s">
        <v>137</v>
      </c>
      <c r="C226" t="s">
        <v>208</v>
      </c>
      <c r="D226" t="s">
        <v>137</v>
      </c>
      <c r="F226" s="43">
        <f t="shared" si="68"/>
        <v>120.47619047619048</v>
      </c>
      <c r="G226" s="43">
        <f t="shared" si="68"/>
        <v>120.47619047619048</v>
      </c>
      <c r="H226" s="43">
        <f t="shared" si="68"/>
        <v>120.47619047619048</v>
      </c>
      <c r="I226" s="43">
        <f t="shared" si="68"/>
        <v>120.47619047619048</v>
      </c>
      <c r="J226" s="43">
        <f t="shared" si="68"/>
        <v>120.47619047619048</v>
      </c>
      <c r="K226" s="43">
        <f t="shared" si="68"/>
        <v>120.47619047619048</v>
      </c>
      <c r="L226" s="43">
        <f t="shared" si="68"/>
        <v>120.47619047619048</v>
      </c>
      <c r="M226" s="43">
        <f t="shared" si="68"/>
        <v>120.47619047619048</v>
      </c>
      <c r="N226" s="43">
        <f t="shared" si="68"/>
        <v>120.47619047619048</v>
      </c>
      <c r="O226" s="43">
        <f t="shared" si="68"/>
        <v>120.47619047619048</v>
      </c>
      <c r="P226" s="43">
        <f t="shared" si="68"/>
        <v>120.47619047619048</v>
      </c>
      <c r="Q226" s="43">
        <f t="shared" si="68"/>
        <v>120.47619047619048</v>
      </c>
      <c r="R226" s="28" t="str">
        <f t="shared" si="56"/>
        <v>Business Insurance</v>
      </c>
      <c r="S226" s="43">
        <f t="shared" si="69"/>
        <v>1445.7142857142858</v>
      </c>
      <c r="T226" s="43">
        <f t="shared" si="69"/>
        <v>1445.7142857142858</v>
      </c>
      <c r="U226" s="43">
        <f t="shared" si="69"/>
        <v>1445.7142857142858</v>
      </c>
    </row>
    <row r="227" spans="2:21" x14ac:dyDescent="0.25">
      <c r="B227" t="s">
        <v>174</v>
      </c>
      <c r="C227" t="s">
        <v>209</v>
      </c>
      <c r="D227" t="s">
        <v>174</v>
      </c>
      <c r="F227" s="43">
        <f t="shared" ref="F227:Q227" si="70">+SUMIFS(F$116:F$186,$C$116:$C$186,$D227)/1000</f>
        <v>0</v>
      </c>
      <c r="G227" s="43">
        <f t="shared" si="70"/>
        <v>0</v>
      </c>
      <c r="H227" s="43">
        <f t="shared" si="70"/>
        <v>0</v>
      </c>
      <c r="I227" s="43">
        <f t="shared" si="70"/>
        <v>0</v>
      </c>
      <c r="J227" s="43">
        <f t="shared" si="70"/>
        <v>0</v>
      </c>
      <c r="K227" s="43">
        <f t="shared" si="70"/>
        <v>0</v>
      </c>
      <c r="L227" s="43">
        <f t="shared" si="70"/>
        <v>0</v>
      </c>
      <c r="M227" s="43">
        <f t="shared" si="70"/>
        <v>0</v>
      </c>
      <c r="N227" s="43">
        <f t="shared" si="70"/>
        <v>0</v>
      </c>
      <c r="O227" s="43">
        <f t="shared" si="70"/>
        <v>0</v>
      </c>
      <c r="P227" s="43">
        <f t="shared" si="70"/>
        <v>0</v>
      </c>
      <c r="Q227" s="43">
        <f t="shared" si="70"/>
        <v>0</v>
      </c>
      <c r="R227" s="28" t="str">
        <f t="shared" si="56"/>
        <v>Non-Departmental</v>
      </c>
      <c r="S227" s="43">
        <f>+SUMIFS(S$116:S$186,$C$116:$C$186,$D227)/1000</f>
        <v>0</v>
      </c>
      <c r="T227" s="43">
        <f>+SUMIFS(T$116:T$186,$C$116:$C$186,$D227)/1000</f>
        <v>0</v>
      </c>
      <c r="U227" s="43">
        <f>+SUMIFS(U$116:U$186,$C$116:$C$186,$D227)/1000</f>
        <v>0</v>
      </c>
    </row>
    <row r="228" spans="2:21" x14ac:dyDescent="0.25">
      <c r="B228" t="s">
        <v>46</v>
      </c>
      <c r="C228" t="s">
        <v>215</v>
      </c>
      <c r="D228" t="s">
        <v>46</v>
      </c>
      <c r="F228" s="31">
        <f t="shared" ref="F228:Q228" si="71">+F190/F203</f>
        <v>4.9998990531182494E-2</v>
      </c>
      <c r="G228" s="31">
        <f t="shared" si="71"/>
        <v>4.9999879506748827E-2</v>
      </c>
      <c r="H228" s="31">
        <f t="shared" si="71"/>
        <v>4.999987859392338E-2</v>
      </c>
      <c r="I228" s="31">
        <f t="shared" si="71"/>
        <v>5.0000994797210589E-2</v>
      </c>
      <c r="J228" s="31">
        <f t="shared" si="71"/>
        <v>5.0000579649659746E-2</v>
      </c>
      <c r="K228" s="31">
        <f t="shared" si="71"/>
        <v>5.0001070686738473E-2</v>
      </c>
      <c r="L228" s="31">
        <f t="shared" si="71"/>
        <v>0.05</v>
      </c>
      <c r="M228" s="31">
        <f t="shared" si="71"/>
        <v>4.9998935739979995E-2</v>
      </c>
      <c r="N228" s="31">
        <f t="shared" si="71"/>
        <v>0.05</v>
      </c>
      <c r="O228" s="31">
        <f t="shared" si="71"/>
        <v>4.9999762075840705E-2</v>
      </c>
      <c r="P228" s="31">
        <f t="shared" si="71"/>
        <v>5.0000457000795182E-2</v>
      </c>
      <c r="Q228" s="31">
        <f t="shared" si="71"/>
        <v>5.0000692306627223E-2</v>
      </c>
      <c r="R228" s="52" t="s">
        <v>217</v>
      </c>
      <c r="S228" s="31">
        <f>+S190/S203</f>
        <v>5.0000109094320767E-2</v>
      </c>
      <c r="T228" s="31">
        <f>+T190/T203</f>
        <v>4.9999980505158137E-2</v>
      </c>
      <c r="U228" s="31">
        <f>+U190/U203</f>
        <v>5.0000309772069713E-2</v>
      </c>
    </row>
    <row r="229" spans="2:21" x14ac:dyDescent="0.25">
      <c r="B229" t="s">
        <v>173</v>
      </c>
      <c r="C229" t="s">
        <v>215</v>
      </c>
      <c r="D229" t="s">
        <v>173</v>
      </c>
      <c r="F229" s="31">
        <f t="shared" ref="F229:Q229" si="72">+SUMIFS(F$116:F$186,$C$116:$C$186,$D229)/F203</f>
        <v>0</v>
      </c>
      <c r="G229" s="31">
        <f t="shared" si="72"/>
        <v>0</v>
      </c>
      <c r="H229" s="31">
        <f t="shared" si="72"/>
        <v>0</v>
      </c>
      <c r="I229" s="31">
        <f t="shared" si="72"/>
        <v>0</v>
      </c>
      <c r="J229" s="31">
        <f t="shared" si="72"/>
        <v>0</v>
      </c>
      <c r="K229" s="31">
        <f t="shared" si="72"/>
        <v>0</v>
      </c>
      <c r="L229" s="31">
        <f t="shared" si="72"/>
        <v>0</v>
      </c>
      <c r="M229" s="31">
        <f t="shared" si="72"/>
        <v>0</v>
      </c>
      <c r="N229" s="31">
        <f t="shared" si="72"/>
        <v>0</v>
      </c>
      <c r="O229" s="31">
        <f t="shared" si="72"/>
        <v>0</v>
      </c>
      <c r="P229" s="31">
        <f t="shared" si="72"/>
        <v>0</v>
      </c>
      <c r="Q229" s="31">
        <f t="shared" si="72"/>
        <v>0</v>
      </c>
      <c r="R229" s="52" t="str">
        <f>+_xlfn.XLOOKUP(D229,$C$131:$C$186,$C$131:$C$186)</f>
        <v>Other Taxes</v>
      </c>
      <c r="S229" s="31">
        <f>+SUMIFS(S$116:S$186,$C$116:$C$186,$D229)/S203</f>
        <v>0</v>
      </c>
      <c r="T229" s="31">
        <f>+SUMIFS(T$116:T$186,$C$116:$C$186,$D229)/T203</f>
        <v>0</v>
      </c>
      <c r="U229" s="31">
        <f>+SUMIFS(U$116:U$186,$C$116:$C$186,$D229)/U203</f>
        <v>0</v>
      </c>
    </row>
    <row r="230" spans="2:21" x14ac:dyDescent="0.25">
      <c r="B230" t="s">
        <v>216</v>
      </c>
      <c r="C230" t="s">
        <v>214</v>
      </c>
      <c r="D230" t="s">
        <v>216</v>
      </c>
      <c r="F230" s="43">
        <f t="shared" ref="F230:Q230" si="73">+SUMIFS(F$116:F$186,$C$116:$C$186,$D230)/F$197</f>
        <v>0</v>
      </c>
      <c r="G230" s="43">
        <f t="shared" si="73"/>
        <v>0</v>
      </c>
      <c r="H230" s="43">
        <f t="shared" si="73"/>
        <v>0</v>
      </c>
      <c r="I230" s="43">
        <f t="shared" si="73"/>
        <v>0</v>
      </c>
      <c r="J230" s="43">
        <f t="shared" si="73"/>
        <v>0</v>
      </c>
      <c r="K230" s="43">
        <f t="shared" si="73"/>
        <v>0</v>
      </c>
      <c r="L230" s="43">
        <f t="shared" si="73"/>
        <v>0</v>
      </c>
      <c r="M230" s="43">
        <f t="shared" si="73"/>
        <v>0</v>
      </c>
      <c r="N230" s="43">
        <f t="shared" si="73"/>
        <v>0</v>
      </c>
      <c r="O230" s="43">
        <f t="shared" si="73"/>
        <v>0</v>
      </c>
      <c r="P230" s="43">
        <f t="shared" si="73"/>
        <v>0</v>
      </c>
      <c r="Q230" s="43">
        <f t="shared" si="73"/>
        <v>0</v>
      </c>
      <c r="R230" s="28" t="s">
        <v>217</v>
      </c>
      <c r="S230" s="43">
        <f>+SUMIFS(S$116:S$186,$C$116:$C$186,$D230)/S$197</f>
        <v>0</v>
      </c>
      <c r="T230" s="43">
        <f>+SUMIFS(T$116:T$186,$C$116:$C$186,$D230)/T$197</f>
        <v>0</v>
      </c>
      <c r="U230" s="43">
        <f>+SUMIFS(U$116:U$186,$C$116:$C$186,$D230)/U$197</f>
        <v>0</v>
      </c>
    </row>
    <row r="231" spans="2:21" x14ac:dyDescent="0.25">
      <c r="B231" t="s">
        <v>119</v>
      </c>
      <c r="C231" t="s">
        <v>214</v>
      </c>
      <c r="D231" t="s">
        <v>119</v>
      </c>
      <c r="F231" s="43">
        <f t="shared" ref="F231:Q231" si="74">+SUMIFS(F$116:F$186,$C$116:$C$186,$D231)/F$197+((F170+F169))/F197</f>
        <v>65.892857142857139</v>
      </c>
      <c r="G231" s="43">
        <f t="shared" si="74"/>
        <v>64.285714285714292</v>
      </c>
      <c r="H231" s="43">
        <f t="shared" si="74"/>
        <v>62.404761904761905</v>
      </c>
      <c r="I231" s="43">
        <f t="shared" si="74"/>
        <v>60.928571428571431</v>
      </c>
      <c r="J231" s="43">
        <f t="shared" si="74"/>
        <v>60.345238095238095</v>
      </c>
      <c r="K231" s="43">
        <f t="shared" si="74"/>
        <v>60.88095238095238</v>
      </c>
      <c r="L231" s="43">
        <f t="shared" si="74"/>
        <v>62.333333333333336</v>
      </c>
      <c r="M231" s="43">
        <f t="shared" si="74"/>
        <v>64.202380952380949</v>
      </c>
      <c r="N231" s="43">
        <f t="shared" si="74"/>
        <v>65.833333333333329</v>
      </c>
      <c r="O231" s="43">
        <f t="shared" si="74"/>
        <v>66.666666666666671</v>
      </c>
      <c r="P231" s="43">
        <f t="shared" si="74"/>
        <v>66.392857142857139</v>
      </c>
      <c r="Q231" s="43">
        <f t="shared" si="74"/>
        <v>65.11904761904762</v>
      </c>
      <c r="R231" s="28" t="str">
        <f>+_xlfn.XLOOKUP(D231,$C$131:$C$186,$C$131:$C$186)</f>
        <v>Marketing</v>
      </c>
      <c r="S231" s="43">
        <f>+SUMIFS(S$116:S$186,$C$116:$C$186,$D231)/S$197+((S170+S169))/S197</f>
        <v>765.28571428571433</v>
      </c>
      <c r="T231" s="43">
        <f>+SUMIFS(T$116:T$186,$C$116:$C$186,$D231)/T$197+((T170+T169))/T197</f>
        <v>781.09523809523807</v>
      </c>
      <c r="U231" s="43">
        <f>+SUMIFS(U$116:U$186,$C$116:$C$186,$D231)/U$197+((U170+U169))/U197</f>
        <v>792.71428571428567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1AD4-5F4D-4744-A44B-6423A01387C5}">
  <dimension ref="A1:Y36"/>
  <sheetViews>
    <sheetView showGridLines="0" workbookViewId="0">
      <selection sqref="A1:Y17"/>
    </sheetView>
  </sheetViews>
  <sheetFormatPr defaultRowHeight="15" x14ac:dyDescent="0.25"/>
  <sheetData>
    <row r="1" spans="1:25" x14ac:dyDescent="0.25">
      <c r="A1" s="2" t="s">
        <v>176</v>
      </c>
    </row>
    <row r="2" spans="1:25" x14ac:dyDescent="0.25">
      <c r="A2" t="s">
        <v>177</v>
      </c>
    </row>
    <row r="3" spans="1:25" x14ac:dyDescent="0.25">
      <c r="A3" s="3" t="s">
        <v>2</v>
      </c>
    </row>
    <row r="6" spans="1:25" x14ac:dyDescent="0.25">
      <c r="A6" s="2" t="s">
        <v>178</v>
      </c>
      <c r="B6" s="4">
        <v>45504</v>
      </c>
      <c r="C6" s="4">
        <v>45535</v>
      </c>
      <c r="D6" s="4">
        <v>45565</v>
      </c>
      <c r="E6" s="4">
        <v>45596</v>
      </c>
      <c r="F6" s="4">
        <v>45626</v>
      </c>
      <c r="G6" s="4">
        <v>45657</v>
      </c>
      <c r="H6" s="4">
        <v>45688</v>
      </c>
      <c r="I6" s="4">
        <v>45716</v>
      </c>
      <c r="J6" s="4">
        <v>45747</v>
      </c>
      <c r="K6" s="4">
        <v>45777</v>
      </c>
      <c r="L6" s="4">
        <v>45808</v>
      </c>
      <c r="M6" s="4">
        <v>45838</v>
      </c>
      <c r="N6" s="4">
        <v>45869</v>
      </c>
      <c r="O6" s="4">
        <v>45900</v>
      </c>
      <c r="P6" s="4">
        <v>45930</v>
      </c>
      <c r="Q6" s="4">
        <v>45961</v>
      </c>
      <c r="R6" s="4">
        <v>45991</v>
      </c>
      <c r="S6" s="4">
        <v>46022</v>
      </c>
      <c r="T6" s="4">
        <v>46053</v>
      </c>
      <c r="U6" s="4">
        <v>46081</v>
      </c>
      <c r="V6" s="4">
        <v>46112</v>
      </c>
      <c r="W6" s="4">
        <v>46142</v>
      </c>
      <c r="X6" s="4">
        <v>46173</v>
      </c>
      <c r="Y6" s="4">
        <v>46203</v>
      </c>
    </row>
    <row r="7" spans="1:25" x14ac:dyDescent="0.25">
      <c r="A7" t="s">
        <v>179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t="s">
        <v>180</v>
      </c>
      <c r="B8" s="1">
        <v>40</v>
      </c>
      <c r="C8" s="1">
        <v>40</v>
      </c>
      <c r="D8" s="1">
        <v>40</v>
      </c>
      <c r="E8" s="1">
        <v>40</v>
      </c>
      <c r="F8" s="1">
        <v>40</v>
      </c>
      <c r="G8" s="1">
        <v>40</v>
      </c>
      <c r="H8" s="1">
        <v>40</v>
      </c>
      <c r="I8" s="1">
        <v>40</v>
      </c>
      <c r="J8" s="1">
        <v>40</v>
      </c>
      <c r="K8" s="1">
        <v>40</v>
      </c>
      <c r="L8" s="1">
        <v>40</v>
      </c>
      <c r="M8" s="1">
        <v>40</v>
      </c>
      <c r="N8" s="1">
        <v>40</v>
      </c>
      <c r="O8" s="1">
        <v>40</v>
      </c>
      <c r="P8" s="1">
        <v>40</v>
      </c>
      <c r="Q8" s="1">
        <v>40</v>
      </c>
      <c r="R8" s="1">
        <v>40</v>
      </c>
      <c r="S8" s="1">
        <v>40</v>
      </c>
      <c r="T8" s="1">
        <v>40</v>
      </c>
      <c r="U8" s="1">
        <v>40</v>
      </c>
      <c r="V8" s="1">
        <v>40</v>
      </c>
      <c r="W8" s="1">
        <v>40</v>
      </c>
      <c r="X8" s="1">
        <v>40</v>
      </c>
      <c r="Y8" s="1">
        <v>40</v>
      </c>
    </row>
    <row r="9" spans="1:25" x14ac:dyDescent="0.25">
      <c r="A9" t="s">
        <v>181</v>
      </c>
      <c r="B9" s="1">
        <v>30</v>
      </c>
      <c r="C9" s="1">
        <v>30</v>
      </c>
      <c r="D9" s="1">
        <v>30</v>
      </c>
      <c r="E9" s="1">
        <v>30</v>
      </c>
      <c r="F9" s="1">
        <v>30</v>
      </c>
      <c r="G9" s="1">
        <v>30</v>
      </c>
      <c r="H9" s="1">
        <v>30</v>
      </c>
      <c r="I9" s="1">
        <v>30</v>
      </c>
      <c r="J9" s="1">
        <v>30</v>
      </c>
      <c r="K9" s="1">
        <v>30</v>
      </c>
      <c r="L9" s="1">
        <v>30</v>
      </c>
      <c r="M9" s="1">
        <v>30</v>
      </c>
      <c r="N9" s="1">
        <v>30</v>
      </c>
      <c r="O9" s="1">
        <v>30</v>
      </c>
      <c r="P9" s="1">
        <v>30</v>
      </c>
      <c r="Q9" s="1">
        <v>30</v>
      </c>
      <c r="R9" s="1">
        <v>30</v>
      </c>
      <c r="S9" s="1">
        <v>30</v>
      </c>
      <c r="T9" s="1">
        <v>30</v>
      </c>
      <c r="U9" s="1">
        <v>30</v>
      </c>
      <c r="V9" s="1">
        <v>30</v>
      </c>
      <c r="W9" s="1">
        <v>30</v>
      </c>
      <c r="X9" s="1">
        <v>30</v>
      </c>
      <c r="Y9" s="1">
        <v>30</v>
      </c>
    </row>
    <row r="10" spans="1:25" x14ac:dyDescent="0.25">
      <c r="A10" t="s">
        <v>182</v>
      </c>
      <c r="B10" s="1">
        <v>14</v>
      </c>
      <c r="C10" s="1">
        <v>14</v>
      </c>
      <c r="D10" s="1">
        <v>14</v>
      </c>
      <c r="E10" s="1">
        <v>14</v>
      </c>
      <c r="F10" s="1">
        <v>14</v>
      </c>
      <c r="G10" s="1">
        <v>14</v>
      </c>
      <c r="H10" s="1">
        <v>14</v>
      </c>
      <c r="I10" s="1">
        <v>14</v>
      </c>
      <c r="J10" s="1">
        <v>14</v>
      </c>
      <c r="K10" s="1">
        <v>14</v>
      </c>
      <c r="L10" s="1">
        <v>14</v>
      </c>
      <c r="M10" s="1">
        <v>14</v>
      </c>
      <c r="N10" s="1">
        <v>14</v>
      </c>
      <c r="O10" s="1">
        <v>14</v>
      </c>
      <c r="P10" s="1">
        <v>14</v>
      </c>
      <c r="Q10" s="1">
        <v>14</v>
      </c>
      <c r="R10" s="1">
        <v>14</v>
      </c>
      <c r="S10" s="1">
        <v>14</v>
      </c>
      <c r="T10" s="1">
        <v>14</v>
      </c>
      <c r="U10" s="1">
        <v>14</v>
      </c>
      <c r="V10" s="1">
        <v>14</v>
      </c>
      <c r="W10" s="1">
        <v>14</v>
      </c>
      <c r="X10" s="1">
        <v>14</v>
      </c>
      <c r="Y10" s="1">
        <v>14</v>
      </c>
    </row>
    <row r="11" spans="1:25" x14ac:dyDescent="0.25">
      <c r="A11" t="s">
        <v>5</v>
      </c>
      <c r="B11" s="1">
        <v>84</v>
      </c>
      <c r="C11" s="1">
        <v>84</v>
      </c>
      <c r="D11" s="1">
        <v>84</v>
      </c>
      <c r="E11" s="1">
        <v>84</v>
      </c>
      <c r="F11" s="1">
        <v>84</v>
      </c>
      <c r="G11" s="1">
        <v>84</v>
      </c>
      <c r="H11" s="1">
        <v>84</v>
      </c>
      <c r="I11" s="1">
        <v>84</v>
      </c>
      <c r="J11" s="1">
        <v>84</v>
      </c>
      <c r="K11" s="1">
        <v>84</v>
      </c>
      <c r="L11" s="1">
        <v>84</v>
      </c>
      <c r="M11" s="1">
        <v>84</v>
      </c>
      <c r="N11" s="1">
        <v>84</v>
      </c>
      <c r="O11" s="1">
        <v>84</v>
      </c>
      <c r="P11" s="1">
        <v>84</v>
      </c>
      <c r="Q11" s="1">
        <v>84</v>
      </c>
      <c r="R11" s="1">
        <v>84</v>
      </c>
      <c r="S11" s="1">
        <v>84</v>
      </c>
      <c r="T11" s="1">
        <v>84</v>
      </c>
      <c r="U11" s="1">
        <v>84</v>
      </c>
      <c r="V11" s="1">
        <v>84</v>
      </c>
      <c r="W11" s="1">
        <v>84</v>
      </c>
      <c r="X11" s="1">
        <v>84</v>
      </c>
      <c r="Y11" s="1">
        <v>84</v>
      </c>
    </row>
    <row r="12" spans="1:25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t="s">
        <v>183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t="s">
        <v>180</v>
      </c>
      <c r="B14" s="1">
        <v>32</v>
      </c>
      <c r="C14" s="1">
        <v>32</v>
      </c>
      <c r="D14" s="1">
        <v>32</v>
      </c>
      <c r="E14" s="1">
        <v>33</v>
      </c>
      <c r="F14" s="1">
        <v>33</v>
      </c>
      <c r="G14" s="1">
        <v>33</v>
      </c>
      <c r="H14" s="1">
        <v>33</v>
      </c>
      <c r="I14" s="1">
        <v>33</v>
      </c>
      <c r="J14" s="1">
        <v>33</v>
      </c>
      <c r="K14" s="1">
        <v>34</v>
      </c>
      <c r="L14" s="1">
        <v>34</v>
      </c>
      <c r="M14" s="1">
        <v>34</v>
      </c>
      <c r="N14" s="1">
        <v>34</v>
      </c>
      <c r="O14" s="1">
        <v>34</v>
      </c>
      <c r="P14" s="1">
        <v>35</v>
      </c>
      <c r="Q14" s="1">
        <v>35</v>
      </c>
      <c r="R14" s="1">
        <v>36</v>
      </c>
      <c r="S14" s="1">
        <v>36</v>
      </c>
      <c r="T14" s="1">
        <v>36</v>
      </c>
      <c r="U14" s="1">
        <v>35</v>
      </c>
      <c r="V14" s="1">
        <v>36</v>
      </c>
      <c r="W14" s="1">
        <v>36</v>
      </c>
      <c r="X14" s="1">
        <v>37</v>
      </c>
      <c r="Y14" s="1">
        <v>37</v>
      </c>
    </row>
    <row r="15" spans="1:25" x14ac:dyDescent="0.25">
      <c r="A15" t="s">
        <v>181</v>
      </c>
      <c r="B15" s="1">
        <v>25</v>
      </c>
      <c r="C15" s="1">
        <v>25</v>
      </c>
      <c r="D15" s="1">
        <v>25</v>
      </c>
      <c r="E15" s="1">
        <v>25</v>
      </c>
      <c r="F15" s="1">
        <v>25</v>
      </c>
      <c r="G15" s="1">
        <v>25</v>
      </c>
      <c r="H15" s="1">
        <v>26</v>
      </c>
      <c r="I15" s="1">
        <v>26</v>
      </c>
      <c r="J15" s="1">
        <v>26</v>
      </c>
      <c r="K15" s="1">
        <v>26</v>
      </c>
      <c r="L15" s="1">
        <v>26</v>
      </c>
      <c r="M15" s="1">
        <v>26</v>
      </c>
      <c r="N15" s="1">
        <v>26</v>
      </c>
      <c r="O15" s="1">
        <v>27</v>
      </c>
      <c r="P15" s="1">
        <v>27</v>
      </c>
      <c r="Q15" s="1">
        <v>26</v>
      </c>
      <c r="R15" s="1">
        <v>27</v>
      </c>
      <c r="S15" s="1">
        <v>28</v>
      </c>
      <c r="T15" s="1">
        <v>28</v>
      </c>
      <c r="U15" s="1">
        <v>27</v>
      </c>
      <c r="V15" s="1">
        <v>27</v>
      </c>
      <c r="W15" s="1">
        <v>28</v>
      </c>
      <c r="X15" s="1">
        <v>28</v>
      </c>
      <c r="Y15" s="1">
        <v>28</v>
      </c>
    </row>
    <row r="16" spans="1:25" x14ac:dyDescent="0.25">
      <c r="A16" t="s">
        <v>182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11</v>
      </c>
      <c r="I16" s="1">
        <v>11</v>
      </c>
      <c r="J16" s="1">
        <v>11</v>
      </c>
      <c r="K16" s="1">
        <v>11</v>
      </c>
      <c r="L16" s="1">
        <v>11</v>
      </c>
      <c r="M16" s="1">
        <v>11</v>
      </c>
      <c r="N16" s="1">
        <v>11</v>
      </c>
      <c r="O16" s="1">
        <v>12</v>
      </c>
      <c r="P16" s="1">
        <v>12</v>
      </c>
      <c r="Q16" s="1">
        <v>12</v>
      </c>
      <c r="R16" s="1">
        <v>13</v>
      </c>
      <c r="S16" s="1">
        <v>12</v>
      </c>
      <c r="T16" s="1">
        <v>12</v>
      </c>
      <c r="U16" s="1">
        <v>13</v>
      </c>
      <c r="V16" s="1">
        <v>13</v>
      </c>
      <c r="W16" s="1">
        <v>12</v>
      </c>
      <c r="X16" s="1">
        <v>13</v>
      </c>
      <c r="Y16" s="1">
        <v>13</v>
      </c>
    </row>
    <row r="17" spans="1:25" x14ac:dyDescent="0.25">
      <c r="A17" t="s">
        <v>5</v>
      </c>
      <c r="B17" s="1">
        <v>67</v>
      </c>
      <c r="C17" s="1">
        <v>67</v>
      </c>
      <c r="D17" s="1">
        <v>67</v>
      </c>
      <c r="E17" s="1">
        <v>68</v>
      </c>
      <c r="F17" s="1">
        <v>68</v>
      </c>
      <c r="G17" s="1">
        <v>68</v>
      </c>
      <c r="H17" s="1">
        <v>70</v>
      </c>
      <c r="I17" s="1">
        <v>70</v>
      </c>
      <c r="J17" s="1">
        <v>70</v>
      </c>
      <c r="K17" s="1">
        <v>71</v>
      </c>
      <c r="L17" s="1">
        <v>71</v>
      </c>
      <c r="M17" s="1">
        <v>71</v>
      </c>
      <c r="N17" s="1">
        <v>71</v>
      </c>
      <c r="O17" s="1">
        <v>73</v>
      </c>
      <c r="P17" s="1">
        <v>74</v>
      </c>
      <c r="Q17" s="1">
        <v>73</v>
      </c>
      <c r="R17" s="1">
        <v>76</v>
      </c>
      <c r="S17" s="1">
        <v>76</v>
      </c>
      <c r="T17" s="1">
        <v>76</v>
      </c>
      <c r="U17" s="1">
        <v>75</v>
      </c>
      <c r="V17" s="1">
        <v>76</v>
      </c>
      <c r="W17" s="1">
        <v>76</v>
      </c>
      <c r="X17" s="1">
        <v>78</v>
      </c>
      <c r="Y17" s="1">
        <v>78</v>
      </c>
    </row>
    <row r="20" spans="1:25" x14ac:dyDescent="0.25">
      <c r="B20" s="21" t="s">
        <v>184</v>
      </c>
      <c r="C20" s="21"/>
      <c r="D20" s="21"/>
      <c r="E20" s="22">
        <v>45869</v>
      </c>
      <c r="F20" s="22">
        <v>45900</v>
      </c>
      <c r="G20" s="22">
        <v>45930</v>
      </c>
      <c r="H20" s="22">
        <v>45961</v>
      </c>
      <c r="I20" s="22">
        <v>45991</v>
      </c>
      <c r="J20" s="22">
        <v>46022</v>
      </c>
      <c r="K20" s="22">
        <v>46053</v>
      </c>
      <c r="L20" s="22">
        <v>46081</v>
      </c>
      <c r="M20" s="22">
        <v>46112</v>
      </c>
      <c r="N20" s="22">
        <v>46142</v>
      </c>
      <c r="O20" s="22">
        <v>46173</v>
      </c>
      <c r="P20" s="22">
        <v>46203</v>
      </c>
    </row>
    <row r="22" spans="1:25" x14ac:dyDescent="0.25">
      <c r="C22" s="23" t="s">
        <v>185</v>
      </c>
      <c r="E22" s="24">
        <f t="shared" ref="E22:P22" si="0">DAY(E20)</f>
        <v>31</v>
      </c>
      <c r="F22" s="24">
        <f t="shared" si="0"/>
        <v>31</v>
      </c>
      <c r="G22" s="24">
        <f t="shared" si="0"/>
        <v>30</v>
      </c>
      <c r="H22" s="24">
        <f t="shared" si="0"/>
        <v>31</v>
      </c>
      <c r="I22" s="24">
        <f t="shared" si="0"/>
        <v>30</v>
      </c>
      <c r="J22" s="24">
        <f t="shared" si="0"/>
        <v>31</v>
      </c>
      <c r="K22" s="24">
        <f t="shared" si="0"/>
        <v>31</v>
      </c>
      <c r="L22" s="24">
        <f t="shared" si="0"/>
        <v>28</v>
      </c>
      <c r="M22" s="24">
        <f t="shared" si="0"/>
        <v>31</v>
      </c>
      <c r="N22" s="24">
        <f t="shared" si="0"/>
        <v>30</v>
      </c>
      <c r="O22" s="24">
        <f t="shared" si="0"/>
        <v>31</v>
      </c>
      <c r="P22" s="24">
        <f t="shared" si="0"/>
        <v>30</v>
      </c>
    </row>
    <row r="24" spans="1:25" x14ac:dyDescent="0.25">
      <c r="B24" t="s">
        <v>179</v>
      </c>
      <c r="C24" t="s">
        <v>180</v>
      </c>
      <c r="E24" s="24">
        <f t="shared" ref="E24:P26" si="1">N8</f>
        <v>40</v>
      </c>
      <c r="F24" s="24">
        <f t="shared" si="1"/>
        <v>40</v>
      </c>
      <c r="G24" s="24">
        <f t="shared" si="1"/>
        <v>40</v>
      </c>
      <c r="H24" s="24">
        <f t="shared" si="1"/>
        <v>40</v>
      </c>
      <c r="I24" s="24">
        <f t="shared" si="1"/>
        <v>40</v>
      </c>
      <c r="J24" s="24">
        <f t="shared" si="1"/>
        <v>40</v>
      </c>
      <c r="K24" s="24">
        <f t="shared" si="1"/>
        <v>40</v>
      </c>
      <c r="L24" s="24">
        <f t="shared" si="1"/>
        <v>40</v>
      </c>
      <c r="M24" s="24">
        <f t="shared" si="1"/>
        <v>40</v>
      </c>
      <c r="N24" s="24">
        <f t="shared" si="1"/>
        <v>40</v>
      </c>
      <c r="O24" s="24">
        <f t="shared" si="1"/>
        <v>40</v>
      </c>
      <c r="P24" s="24">
        <f t="shared" si="1"/>
        <v>40</v>
      </c>
    </row>
    <row r="25" spans="1:25" x14ac:dyDescent="0.25">
      <c r="B25" t="s">
        <v>179</v>
      </c>
      <c r="C25" t="s">
        <v>181</v>
      </c>
      <c r="E25" s="24">
        <f t="shared" si="1"/>
        <v>30</v>
      </c>
      <c r="F25" s="24">
        <f t="shared" si="1"/>
        <v>30</v>
      </c>
      <c r="G25" s="24">
        <f t="shared" si="1"/>
        <v>30</v>
      </c>
      <c r="H25" s="24">
        <f t="shared" si="1"/>
        <v>30</v>
      </c>
      <c r="I25" s="24">
        <f t="shared" si="1"/>
        <v>30</v>
      </c>
      <c r="J25" s="24">
        <f t="shared" si="1"/>
        <v>30</v>
      </c>
      <c r="K25" s="24">
        <f t="shared" si="1"/>
        <v>30</v>
      </c>
      <c r="L25" s="24">
        <f t="shared" si="1"/>
        <v>30</v>
      </c>
      <c r="M25" s="24">
        <f t="shared" si="1"/>
        <v>30</v>
      </c>
      <c r="N25" s="24">
        <f t="shared" si="1"/>
        <v>30</v>
      </c>
      <c r="O25" s="24">
        <f t="shared" si="1"/>
        <v>30</v>
      </c>
      <c r="P25" s="24">
        <f t="shared" si="1"/>
        <v>30</v>
      </c>
    </row>
    <row r="26" spans="1:25" x14ac:dyDescent="0.25">
      <c r="B26" t="s">
        <v>179</v>
      </c>
      <c r="C26" t="s">
        <v>182</v>
      </c>
      <c r="E26" s="24">
        <f t="shared" si="1"/>
        <v>14</v>
      </c>
      <c r="F26" s="24">
        <f t="shared" si="1"/>
        <v>14</v>
      </c>
      <c r="G26" s="24">
        <f t="shared" si="1"/>
        <v>14</v>
      </c>
      <c r="H26" s="24">
        <f t="shared" si="1"/>
        <v>14</v>
      </c>
      <c r="I26" s="24">
        <f t="shared" si="1"/>
        <v>14</v>
      </c>
      <c r="J26" s="24">
        <f t="shared" si="1"/>
        <v>14</v>
      </c>
      <c r="K26" s="24">
        <f t="shared" si="1"/>
        <v>14</v>
      </c>
      <c r="L26" s="24">
        <f t="shared" si="1"/>
        <v>14</v>
      </c>
      <c r="M26" s="24">
        <f t="shared" si="1"/>
        <v>14</v>
      </c>
      <c r="N26" s="24">
        <f t="shared" si="1"/>
        <v>14</v>
      </c>
      <c r="O26" s="24">
        <f t="shared" si="1"/>
        <v>14</v>
      </c>
      <c r="P26" s="24">
        <f t="shared" si="1"/>
        <v>14</v>
      </c>
    </row>
    <row r="27" spans="1:25" x14ac:dyDescent="0.25">
      <c r="B27" t="s">
        <v>179</v>
      </c>
      <c r="C27" s="2" t="s">
        <v>5</v>
      </c>
      <c r="E27" s="25">
        <f t="shared" ref="E27:P27" si="2">SUM(E24:E26)</f>
        <v>84</v>
      </c>
      <c r="F27" s="25">
        <f t="shared" si="2"/>
        <v>84</v>
      </c>
      <c r="G27" s="25">
        <f t="shared" si="2"/>
        <v>84</v>
      </c>
      <c r="H27" s="25">
        <f t="shared" si="2"/>
        <v>84</v>
      </c>
      <c r="I27" s="25">
        <f t="shared" si="2"/>
        <v>84</v>
      </c>
      <c r="J27" s="25">
        <f t="shared" si="2"/>
        <v>84</v>
      </c>
      <c r="K27" s="25">
        <f t="shared" si="2"/>
        <v>84</v>
      </c>
      <c r="L27" s="25">
        <f t="shared" si="2"/>
        <v>84</v>
      </c>
      <c r="M27" s="25">
        <f t="shared" si="2"/>
        <v>84</v>
      </c>
      <c r="N27" s="25">
        <f t="shared" si="2"/>
        <v>84</v>
      </c>
      <c r="O27" s="25">
        <f t="shared" si="2"/>
        <v>84</v>
      </c>
      <c r="P27" s="25">
        <f t="shared" si="2"/>
        <v>84</v>
      </c>
    </row>
    <row r="29" spans="1:25" x14ac:dyDescent="0.25">
      <c r="B29" t="s">
        <v>186</v>
      </c>
      <c r="C29" t="s">
        <v>180</v>
      </c>
      <c r="E29" s="24">
        <f t="shared" ref="E29:P31" si="3">N14</f>
        <v>34</v>
      </c>
      <c r="F29" s="24">
        <f t="shared" si="3"/>
        <v>34</v>
      </c>
      <c r="G29" s="24">
        <f t="shared" si="3"/>
        <v>35</v>
      </c>
      <c r="H29" s="24">
        <f t="shared" si="3"/>
        <v>35</v>
      </c>
      <c r="I29" s="24">
        <f t="shared" si="3"/>
        <v>36</v>
      </c>
      <c r="J29" s="24">
        <f t="shared" si="3"/>
        <v>36</v>
      </c>
      <c r="K29" s="24">
        <f t="shared" si="3"/>
        <v>36</v>
      </c>
      <c r="L29" s="24">
        <f t="shared" si="3"/>
        <v>35</v>
      </c>
      <c r="M29" s="24">
        <f t="shared" si="3"/>
        <v>36</v>
      </c>
      <c r="N29" s="24">
        <f t="shared" si="3"/>
        <v>36</v>
      </c>
      <c r="O29" s="24">
        <f t="shared" si="3"/>
        <v>37</v>
      </c>
      <c r="P29" s="24">
        <f t="shared" si="3"/>
        <v>37</v>
      </c>
    </row>
    <row r="30" spans="1:25" x14ac:dyDescent="0.25">
      <c r="B30" t="s">
        <v>186</v>
      </c>
      <c r="C30" t="s">
        <v>181</v>
      </c>
      <c r="E30" s="24">
        <f t="shared" si="3"/>
        <v>26</v>
      </c>
      <c r="F30" s="24">
        <f t="shared" si="3"/>
        <v>27</v>
      </c>
      <c r="G30" s="24">
        <f t="shared" si="3"/>
        <v>27</v>
      </c>
      <c r="H30" s="24">
        <f t="shared" si="3"/>
        <v>26</v>
      </c>
      <c r="I30" s="24">
        <f t="shared" si="3"/>
        <v>27</v>
      </c>
      <c r="J30" s="24">
        <f t="shared" si="3"/>
        <v>28</v>
      </c>
      <c r="K30" s="24">
        <f t="shared" si="3"/>
        <v>28</v>
      </c>
      <c r="L30" s="24">
        <f t="shared" si="3"/>
        <v>27</v>
      </c>
      <c r="M30" s="24">
        <f t="shared" si="3"/>
        <v>27</v>
      </c>
      <c r="N30" s="24">
        <f t="shared" si="3"/>
        <v>28</v>
      </c>
      <c r="O30" s="24">
        <f t="shared" si="3"/>
        <v>28</v>
      </c>
      <c r="P30" s="24">
        <f t="shared" si="3"/>
        <v>28</v>
      </c>
    </row>
    <row r="31" spans="1:25" x14ac:dyDescent="0.25">
      <c r="B31" t="s">
        <v>186</v>
      </c>
      <c r="C31" t="s">
        <v>182</v>
      </c>
      <c r="E31" s="24">
        <f t="shared" si="3"/>
        <v>11</v>
      </c>
      <c r="F31" s="24">
        <f t="shared" si="3"/>
        <v>12</v>
      </c>
      <c r="G31" s="24">
        <f t="shared" si="3"/>
        <v>12</v>
      </c>
      <c r="H31" s="24">
        <f t="shared" si="3"/>
        <v>12</v>
      </c>
      <c r="I31" s="24">
        <f t="shared" si="3"/>
        <v>13</v>
      </c>
      <c r="J31" s="24">
        <f t="shared" si="3"/>
        <v>12</v>
      </c>
      <c r="K31" s="24">
        <f t="shared" si="3"/>
        <v>12</v>
      </c>
      <c r="L31" s="24">
        <f t="shared" si="3"/>
        <v>13</v>
      </c>
      <c r="M31" s="24">
        <f t="shared" si="3"/>
        <v>13</v>
      </c>
      <c r="N31" s="24">
        <f t="shared" si="3"/>
        <v>12</v>
      </c>
      <c r="O31" s="24">
        <f t="shared" si="3"/>
        <v>13</v>
      </c>
      <c r="P31" s="24">
        <f t="shared" si="3"/>
        <v>13</v>
      </c>
    </row>
    <row r="32" spans="1:25" x14ac:dyDescent="0.25">
      <c r="B32" t="s">
        <v>186</v>
      </c>
      <c r="C32" s="2" t="s">
        <v>5</v>
      </c>
      <c r="E32" s="25">
        <f t="shared" ref="E32:P32" si="4">SUM(E29:E31)</f>
        <v>71</v>
      </c>
      <c r="F32" s="25">
        <f t="shared" si="4"/>
        <v>73</v>
      </c>
      <c r="G32" s="25">
        <f t="shared" si="4"/>
        <v>74</v>
      </c>
      <c r="H32" s="25">
        <f t="shared" si="4"/>
        <v>73</v>
      </c>
      <c r="I32" s="25">
        <f t="shared" si="4"/>
        <v>76</v>
      </c>
      <c r="J32" s="25">
        <f t="shared" si="4"/>
        <v>76</v>
      </c>
      <c r="K32" s="25">
        <f t="shared" si="4"/>
        <v>76</v>
      </c>
      <c r="L32" s="25">
        <f t="shared" si="4"/>
        <v>75</v>
      </c>
      <c r="M32" s="25">
        <f t="shared" si="4"/>
        <v>76</v>
      </c>
      <c r="N32" s="25">
        <f t="shared" si="4"/>
        <v>76</v>
      </c>
      <c r="O32" s="25">
        <f t="shared" si="4"/>
        <v>78</v>
      </c>
      <c r="P32" s="25">
        <f t="shared" si="4"/>
        <v>78</v>
      </c>
    </row>
    <row r="34" spans="2:16" x14ac:dyDescent="0.25">
      <c r="B34" t="s">
        <v>187</v>
      </c>
      <c r="C34" t="s">
        <v>180</v>
      </c>
      <c r="E34" s="26">
        <f t="shared" ref="E34:P36" si="5">E29/E24</f>
        <v>0.85</v>
      </c>
      <c r="F34" s="26">
        <f t="shared" si="5"/>
        <v>0.85</v>
      </c>
      <c r="G34" s="26">
        <f t="shared" si="5"/>
        <v>0.875</v>
      </c>
      <c r="H34" s="26">
        <f t="shared" si="5"/>
        <v>0.875</v>
      </c>
      <c r="I34" s="26">
        <f t="shared" si="5"/>
        <v>0.9</v>
      </c>
      <c r="J34" s="26">
        <f t="shared" si="5"/>
        <v>0.9</v>
      </c>
      <c r="K34" s="26">
        <f t="shared" si="5"/>
        <v>0.9</v>
      </c>
      <c r="L34" s="26">
        <f t="shared" si="5"/>
        <v>0.875</v>
      </c>
      <c r="M34" s="26">
        <f t="shared" si="5"/>
        <v>0.9</v>
      </c>
      <c r="N34" s="26">
        <f t="shared" si="5"/>
        <v>0.9</v>
      </c>
      <c r="O34" s="26">
        <f t="shared" si="5"/>
        <v>0.92500000000000004</v>
      </c>
      <c r="P34" s="26">
        <f t="shared" si="5"/>
        <v>0.92500000000000004</v>
      </c>
    </row>
    <row r="35" spans="2:16" x14ac:dyDescent="0.25">
      <c r="B35" t="s">
        <v>187</v>
      </c>
      <c r="C35" t="s">
        <v>181</v>
      </c>
      <c r="E35" s="26">
        <f t="shared" si="5"/>
        <v>0.8666666666666667</v>
      </c>
      <c r="F35" s="26">
        <f t="shared" si="5"/>
        <v>0.9</v>
      </c>
      <c r="G35" s="26">
        <f t="shared" si="5"/>
        <v>0.9</v>
      </c>
      <c r="H35" s="26">
        <f t="shared" si="5"/>
        <v>0.8666666666666667</v>
      </c>
      <c r="I35" s="26">
        <f t="shared" si="5"/>
        <v>0.9</v>
      </c>
      <c r="J35" s="26">
        <f t="shared" si="5"/>
        <v>0.93333333333333335</v>
      </c>
      <c r="K35" s="26">
        <f t="shared" si="5"/>
        <v>0.93333333333333335</v>
      </c>
      <c r="L35" s="26">
        <f t="shared" si="5"/>
        <v>0.9</v>
      </c>
      <c r="M35" s="26">
        <f t="shared" si="5"/>
        <v>0.9</v>
      </c>
      <c r="N35" s="26">
        <f t="shared" si="5"/>
        <v>0.93333333333333335</v>
      </c>
      <c r="O35" s="26">
        <f t="shared" si="5"/>
        <v>0.93333333333333335</v>
      </c>
      <c r="P35" s="26">
        <f t="shared" si="5"/>
        <v>0.93333333333333335</v>
      </c>
    </row>
    <row r="36" spans="2:16" x14ac:dyDescent="0.25">
      <c r="B36" t="s">
        <v>187</v>
      </c>
      <c r="C36" t="s">
        <v>182</v>
      </c>
      <c r="E36" s="26">
        <f t="shared" si="5"/>
        <v>0.7857142857142857</v>
      </c>
      <c r="F36" s="26">
        <f t="shared" si="5"/>
        <v>0.8571428571428571</v>
      </c>
      <c r="G36" s="26">
        <f t="shared" si="5"/>
        <v>0.8571428571428571</v>
      </c>
      <c r="H36" s="26">
        <f t="shared" si="5"/>
        <v>0.8571428571428571</v>
      </c>
      <c r="I36" s="26">
        <f t="shared" si="5"/>
        <v>0.9285714285714286</v>
      </c>
      <c r="J36" s="26">
        <f t="shared" si="5"/>
        <v>0.8571428571428571</v>
      </c>
      <c r="K36" s="26">
        <f t="shared" si="5"/>
        <v>0.8571428571428571</v>
      </c>
      <c r="L36" s="26">
        <f t="shared" si="5"/>
        <v>0.9285714285714286</v>
      </c>
      <c r="M36" s="26">
        <f t="shared" si="5"/>
        <v>0.9285714285714286</v>
      </c>
      <c r="N36" s="26">
        <f t="shared" si="5"/>
        <v>0.8571428571428571</v>
      </c>
      <c r="O36" s="26">
        <f t="shared" si="5"/>
        <v>0.9285714285714286</v>
      </c>
      <c r="P36" s="26">
        <f t="shared" si="5"/>
        <v>0.9285714285714286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9335-22B9-4873-957D-939303CAB19A}">
  <dimension ref="A2:E65"/>
  <sheetViews>
    <sheetView showGridLines="0" workbookViewId="0"/>
  </sheetViews>
  <sheetFormatPr defaultRowHeight="15" x14ac:dyDescent="0.25"/>
  <cols>
    <col min="2" max="2" width="20.42578125" customWidth="1"/>
    <col min="3" max="3" width="45.5703125" customWidth="1"/>
    <col min="4" max="4" width="18.140625" customWidth="1"/>
    <col min="5" max="5" width="21.85546875" customWidth="1"/>
  </cols>
  <sheetData>
    <row r="2" spans="1:5" x14ac:dyDescent="0.25">
      <c r="A2" s="16" t="s">
        <v>69</v>
      </c>
      <c r="C2" s="16" t="s">
        <v>70</v>
      </c>
      <c r="D2" s="16" t="s">
        <v>71</v>
      </c>
      <c r="E2" s="16" t="s">
        <v>72</v>
      </c>
    </row>
    <row r="3" spans="1:5" x14ac:dyDescent="0.25">
      <c r="C3" s="18" t="s">
        <v>6</v>
      </c>
      <c r="E3" s="19" t="s">
        <v>75</v>
      </c>
    </row>
    <row r="4" spans="1:5" x14ac:dyDescent="0.25">
      <c r="A4" s="15" t="str">
        <f>IF(COUNTIF($E:$E,B4),"Yes","No")</f>
        <v>Yes</v>
      </c>
      <c r="B4" s="19" t="s">
        <v>73</v>
      </c>
      <c r="C4" s="17" t="s">
        <v>74</v>
      </c>
      <c r="E4" s="19" t="s">
        <v>73</v>
      </c>
    </row>
    <row r="5" spans="1:5" x14ac:dyDescent="0.25">
      <c r="A5" s="15" t="str">
        <f>IF(COUNTIF($E:$E,B5),"Yes","No")</f>
        <v>Yes</v>
      </c>
      <c r="B5" s="19" t="s">
        <v>75</v>
      </c>
      <c r="C5" s="17" t="s">
        <v>76</v>
      </c>
      <c r="E5" s="19" t="s">
        <v>142</v>
      </c>
    </row>
    <row r="6" spans="1:5" x14ac:dyDescent="0.25">
      <c r="A6" s="15" t="str">
        <f>IF(COUNTIF($E:$E,B6),"Yes","No")</f>
        <v>Yes</v>
      </c>
      <c r="B6" s="19" t="s">
        <v>77</v>
      </c>
      <c r="C6" s="17" t="s">
        <v>78</v>
      </c>
      <c r="E6" s="19" t="s">
        <v>77</v>
      </c>
    </row>
    <row r="7" spans="1:5" x14ac:dyDescent="0.25">
      <c r="C7" s="18" t="s">
        <v>54</v>
      </c>
      <c r="E7" s="19" t="s">
        <v>143</v>
      </c>
    </row>
    <row r="8" spans="1:5" x14ac:dyDescent="0.25">
      <c r="A8" s="15" t="str">
        <f>IF(COUNTIF($E:$E,B8),"Yes","No")</f>
        <v>Yes</v>
      </c>
      <c r="B8" s="19" t="s">
        <v>79</v>
      </c>
      <c r="C8" s="17" t="s">
        <v>80</v>
      </c>
      <c r="E8" s="19" t="s">
        <v>86</v>
      </c>
    </row>
    <row r="9" spans="1:5" x14ac:dyDescent="0.25">
      <c r="A9" s="15" t="str">
        <f>IF(COUNTIF($E:$E,B9),"Yes","No")</f>
        <v>Yes</v>
      </c>
      <c r="B9" s="19" t="s">
        <v>81</v>
      </c>
      <c r="C9" s="17" t="s">
        <v>82</v>
      </c>
      <c r="E9" s="19" t="s">
        <v>144</v>
      </c>
    </row>
    <row r="10" spans="1:5" x14ac:dyDescent="0.25">
      <c r="C10" s="18" t="s">
        <v>55</v>
      </c>
      <c r="E10" s="19" t="s">
        <v>83</v>
      </c>
    </row>
    <row r="11" spans="1:5" x14ac:dyDescent="0.25">
      <c r="A11" s="15" t="str">
        <f>IF(COUNTIF($E:$E,B11),"Yes","No")</f>
        <v>Yes</v>
      </c>
      <c r="B11" s="19" t="s">
        <v>83</v>
      </c>
      <c r="C11" s="17" t="s">
        <v>84</v>
      </c>
      <c r="E11" s="19" t="s">
        <v>79</v>
      </c>
    </row>
    <row r="12" spans="1:5" x14ac:dyDescent="0.25">
      <c r="A12" s="15" t="str">
        <f>IF(COUNTIF($E:$E,B12),"Yes","No")</f>
        <v>Yes</v>
      </c>
      <c r="B12" s="19" t="s">
        <v>13</v>
      </c>
      <c r="C12" s="17" t="s">
        <v>85</v>
      </c>
      <c r="E12" s="19" t="s">
        <v>81</v>
      </c>
    </row>
    <row r="13" spans="1:5" x14ac:dyDescent="0.25">
      <c r="A13" s="15" t="str">
        <f>IF(COUNTIF($E:$E,B13),"Yes","No")</f>
        <v>Yes</v>
      </c>
      <c r="B13" s="19" t="s">
        <v>86</v>
      </c>
      <c r="C13" s="17" t="s">
        <v>87</v>
      </c>
      <c r="E13" s="19" t="s">
        <v>13</v>
      </c>
    </row>
    <row r="14" spans="1:5" x14ac:dyDescent="0.25">
      <c r="A14" s="15" t="str">
        <f>IF(COUNTIF($E:$E,B14),"Yes","No")</f>
        <v>Yes</v>
      </c>
      <c r="B14" s="19" t="s">
        <v>86</v>
      </c>
      <c r="C14" s="17" t="s">
        <v>88</v>
      </c>
      <c r="E14" s="19" t="s">
        <v>121</v>
      </c>
    </row>
    <row r="15" spans="1:5" x14ac:dyDescent="0.25">
      <c r="C15" s="18" t="s">
        <v>56</v>
      </c>
      <c r="E15" s="19" t="s">
        <v>89</v>
      </c>
    </row>
    <row r="16" spans="1:5" x14ac:dyDescent="0.25">
      <c r="C16" s="18" t="s">
        <v>16</v>
      </c>
      <c r="E16" s="19" t="s">
        <v>98</v>
      </c>
    </row>
    <row r="17" spans="1:5" x14ac:dyDescent="0.25">
      <c r="C17" s="18" t="s">
        <v>57</v>
      </c>
      <c r="E17" s="19" t="s">
        <v>96</v>
      </c>
    </row>
    <row r="18" spans="1:5" x14ac:dyDescent="0.25">
      <c r="A18" s="15" t="str">
        <f>IF(COUNTIF($E:$E,B18),"Yes","No")</f>
        <v>Yes</v>
      </c>
      <c r="B18" s="19" t="s">
        <v>89</v>
      </c>
      <c r="C18" s="17" t="s">
        <v>90</v>
      </c>
      <c r="E18" s="19" t="s">
        <v>113</v>
      </c>
    </row>
    <row r="19" spans="1:5" x14ac:dyDescent="0.25">
      <c r="A19" s="15" t="str">
        <f>IF(COUNTIF($E:$E,B19),"Yes","No")</f>
        <v>Yes</v>
      </c>
      <c r="B19" s="19" t="s">
        <v>89</v>
      </c>
      <c r="C19" s="17" t="s">
        <v>91</v>
      </c>
      <c r="E19" s="19" t="s">
        <v>104</v>
      </c>
    </row>
    <row r="20" spans="1:5" x14ac:dyDescent="0.25">
      <c r="A20" s="15" t="str">
        <f>IF(COUNTIF($E:$E,B20),"Yes","No")</f>
        <v>Yes</v>
      </c>
      <c r="B20" s="19" t="s">
        <v>92</v>
      </c>
      <c r="C20" s="17" t="s">
        <v>93</v>
      </c>
      <c r="E20" s="19" t="s">
        <v>117</v>
      </c>
    </row>
    <row r="21" spans="1:5" x14ac:dyDescent="0.25">
      <c r="A21" s="15" t="str">
        <f>IF(COUNTIF($E:$E,B21),"Yes","No")</f>
        <v>Yes</v>
      </c>
      <c r="B21" s="19" t="s">
        <v>94</v>
      </c>
      <c r="C21" s="17" t="s">
        <v>95</v>
      </c>
      <c r="E21" s="19" t="s">
        <v>145</v>
      </c>
    </row>
    <row r="22" spans="1:5" x14ac:dyDescent="0.25">
      <c r="C22" s="18" t="s">
        <v>58</v>
      </c>
      <c r="E22" s="19" t="s">
        <v>146</v>
      </c>
    </row>
    <row r="23" spans="1:5" x14ac:dyDescent="0.25">
      <c r="A23" s="15" t="str">
        <f>IF(COUNTIF($E:$E,B23),"Yes","No")</f>
        <v>Yes</v>
      </c>
      <c r="B23" s="19" t="s">
        <v>96</v>
      </c>
      <c r="C23" s="17" t="s">
        <v>97</v>
      </c>
      <c r="E23" s="19" t="s">
        <v>147</v>
      </c>
    </row>
    <row r="24" spans="1:5" x14ac:dyDescent="0.25">
      <c r="C24" s="18" t="s">
        <v>59</v>
      </c>
      <c r="E24" s="19" t="s">
        <v>148</v>
      </c>
    </row>
    <row r="25" spans="1:5" x14ac:dyDescent="0.25">
      <c r="A25" s="15" t="str">
        <f>IF(COUNTIF($E:$E,B25),"Yes","No")</f>
        <v>Yes</v>
      </c>
      <c r="B25" s="19" t="s">
        <v>98</v>
      </c>
      <c r="C25" s="17" t="s">
        <v>99</v>
      </c>
      <c r="E25" s="19" t="s">
        <v>149</v>
      </c>
    </row>
    <row r="26" spans="1:5" x14ac:dyDescent="0.25">
      <c r="A26" s="15" t="str">
        <f>IF(COUNTIF($E:$E,B26),"Yes","No")</f>
        <v>Yes</v>
      </c>
      <c r="B26" s="19" t="s">
        <v>98</v>
      </c>
      <c r="C26" s="17" t="s">
        <v>100</v>
      </c>
      <c r="E26" s="19" t="s">
        <v>150</v>
      </c>
    </row>
    <row r="27" spans="1:5" x14ac:dyDescent="0.25">
      <c r="A27" s="15" t="str">
        <f>IF(COUNTIF($E:$E,B27),"Yes","No")</f>
        <v>Yes</v>
      </c>
      <c r="B27" s="19" t="s">
        <v>98</v>
      </c>
      <c r="C27" s="17" t="s">
        <v>101</v>
      </c>
      <c r="E27" s="19" t="s">
        <v>151</v>
      </c>
    </row>
    <row r="28" spans="1:5" x14ac:dyDescent="0.25">
      <c r="A28" s="15" t="str">
        <f>IF(COUNTIF($E:$E,B28),"Yes","No")</f>
        <v>Yes</v>
      </c>
      <c r="B28" s="19" t="s">
        <v>102</v>
      </c>
      <c r="C28" s="17" t="s">
        <v>103</v>
      </c>
      <c r="E28" s="19" t="s">
        <v>152</v>
      </c>
    </row>
    <row r="29" spans="1:5" x14ac:dyDescent="0.25">
      <c r="C29" s="18" t="s">
        <v>60</v>
      </c>
      <c r="E29" s="19" t="s">
        <v>153</v>
      </c>
    </row>
    <row r="30" spans="1:5" x14ac:dyDescent="0.25">
      <c r="A30" s="15" t="str">
        <f>IF(COUNTIF($E:$E,B30),"Yes","No")</f>
        <v>Yes</v>
      </c>
      <c r="B30" s="19" t="s">
        <v>104</v>
      </c>
      <c r="C30" s="17" t="s">
        <v>105</v>
      </c>
      <c r="E30" s="19" t="s">
        <v>154</v>
      </c>
    </row>
    <row r="31" spans="1:5" x14ac:dyDescent="0.25">
      <c r="A31" s="15" t="str">
        <f>IF(COUNTIF($E:$E,B31),"Yes","No")</f>
        <v>Yes</v>
      </c>
      <c r="B31" s="19" t="s">
        <v>106</v>
      </c>
      <c r="C31" s="17" t="s">
        <v>107</v>
      </c>
      <c r="E31" s="19" t="s">
        <v>155</v>
      </c>
    </row>
    <row r="32" spans="1:5" x14ac:dyDescent="0.25">
      <c r="C32" s="18" t="s">
        <v>61</v>
      </c>
      <c r="E32" s="19" t="s">
        <v>156</v>
      </c>
    </row>
    <row r="33" spans="1:5" x14ac:dyDescent="0.25">
      <c r="A33" s="15" t="str">
        <f>IF(COUNTIF($E:$E,B33),"Yes","No")</f>
        <v>Yes</v>
      </c>
      <c r="B33" s="19" t="s">
        <v>108</v>
      </c>
      <c r="C33" s="17" t="s">
        <v>109</v>
      </c>
      <c r="E33" s="19" t="s">
        <v>157</v>
      </c>
    </row>
    <row r="34" spans="1:5" x14ac:dyDescent="0.25">
      <c r="A34" s="15" t="str">
        <f>IF(COUNTIF($E:$E,B34),"Yes","No")</f>
        <v>Yes</v>
      </c>
      <c r="B34" s="19" t="s">
        <v>108</v>
      </c>
      <c r="C34" s="17" t="s">
        <v>110</v>
      </c>
      <c r="E34" s="19" t="s">
        <v>158</v>
      </c>
    </row>
    <row r="35" spans="1:5" x14ac:dyDescent="0.25">
      <c r="A35" s="15" t="str">
        <f>IF(COUNTIF($E:$E,B35),"Yes","No")</f>
        <v>Yes</v>
      </c>
      <c r="B35" s="19" t="s">
        <v>108</v>
      </c>
      <c r="C35" s="17" t="s">
        <v>111</v>
      </c>
      <c r="E35" s="19" t="s">
        <v>159</v>
      </c>
    </row>
    <row r="36" spans="1:5" x14ac:dyDescent="0.25">
      <c r="A36" s="15" t="str">
        <f>IF(COUNTIF($E:$E,B36),"Yes","No")</f>
        <v>Yes</v>
      </c>
      <c r="B36" s="19" t="s">
        <v>108</v>
      </c>
      <c r="C36" s="17" t="s">
        <v>112</v>
      </c>
      <c r="E36" s="19" t="s">
        <v>130</v>
      </c>
    </row>
    <row r="37" spans="1:5" x14ac:dyDescent="0.25">
      <c r="C37" s="18" t="s">
        <v>62</v>
      </c>
      <c r="E37" s="19" t="s">
        <v>92</v>
      </c>
    </row>
    <row r="38" spans="1:5" x14ac:dyDescent="0.25">
      <c r="A38" s="15" t="str">
        <f>IF(COUNTIF($E:$E,B38),"Yes","No")</f>
        <v>Yes</v>
      </c>
      <c r="B38" s="19" t="s">
        <v>113</v>
      </c>
      <c r="C38" s="17" t="s">
        <v>114</v>
      </c>
      <c r="E38" s="19" t="s">
        <v>94</v>
      </c>
    </row>
    <row r="39" spans="1:5" x14ac:dyDescent="0.25">
      <c r="A39" s="15" t="str">
        <f>IF(COUNTIF($E:$E,B39),"Yes","No")</f>
        <v>Yes</v>
      </c>
      <c r="B39" s="19" t="s">
        <v>115</v>
      </c>
      <c r="C39" s="17" t="s">
        <v>116</v>
      </c>
      <c r="E39" s="19" t="s">
        <v>160</v>
      </c>
    </row>
    <row r="40" spans="1:5" x14ac:dyDescent="0.25">
      <c r="C40" s="18" t="s">
        <v>63</v>
      </c>
      <c r="E40" s="19" t="s">
        <v>102</v>
      </c>
    </row>
    <row r="41" spans="1:5" x14ac:dyDescent="0.25">
      <c r="A41" s="15" t="str">
        <f>IF(COUNTIF($E:$E,B41),"Yes","No")</f>
        <v>Yes</v>
      </c>
      <c r="B41" s="19" t="s">
        <v>117</v>
      </c>
      <c r="C41" s="17" t="s">
        <v>118</v>
      </c>
      <c r="E41" s="19" t="s">
        <v>161</v>
      </c>
    </row>
    <row r="42" spans="1:5" x14ac:dyDescent="0.25">
      <c r="A42" s="15" t="str">
        <f>IF(COUNTIF($E:$E,B42),"Yes","No")</f>
        <v>Yes</v>
      </c>
      <c r="B42" s="19" t="s">
        <v>119</v>
      </c>
      <c r="C42" s="17" t="s">
        <v>120</v>
      </c>
      <c r="E42" s="19" t="s">
        <v>106</v>
      </c>
    </row>
    <row r="43" spans="1:5" x14ac:dyDescent="0.25">
      <c r="C43" s="18" t="s">
        <v>64</v>
      </c>
      <c r="E43" s="19" t="s">
        <v>108</v>
      </c>
    </row>
    <row r="44" spans="1:5" x14ac:dyDescent="0.25">
      <c r="A44" s="15" t="str">
        <f>IF(COUNTIF($E:$E,B44),"Yes","No")</f>
        <v>Yes</v>
      </c>
      <c r="B44" s="19" t="s">
        <v>121</v>
      </c>
      <c r="C44" s="17" t="s">
        <v>122</v>
      </c>
      <c r="E44" s="19" t="s">
        <v>115</v>
      </c>
    </row>
    <row r="45" spans="1:5" x14ac:dyDescent="0.25">
      <c r="A45" s="15" t="str">
        <f>IF(COUNTIF($E:$E,B45),"Yes","No")</f>
        <v>Yes</v>
      </c>
      <c r="B45" s="19" t="s">
        <v>121</v>
      </c>
      <c r="C45" s="17" t="s">
        <v>123</v>
      </c>
      <c r="E45" s="19" t="s">
        <v>119</v>
      </c>
    </row>
    <row r="46" spans="1:5" x14ac:dyDescent="0.25">
      <c r="A46" s="15" t="str">
        <f>IF(COUNTIF($E:$E,B46),"Yes","No")</f>
        <v>Yes</v>
      </c>
      <c r="B46" s="19" t="s">
        <v>121</v>
      </c>
      <c r="C46" s="17" t="s">
        <v>124</v>
      </c>
      <c r="E46" s="19" t="s">
        <v>162</v>
      </c>
    </row>
    <row r="47" spans="1:5" x14ac:dyDescent="0.25">
      <c r="A47" s="15" t="str">
        <f>IF(COUNTIF($E:$E,B47),"Yes","No")</f>
        <v>Yes</v>
      </c>
      <c r="B47" s="19" t="s">
        <v>125</v>
      </c>
      <c r="C47" s="17" t="s">
        <v>126</v>
      </c>
      <c r="D47" s="17" t="s">
        <v>127</v>
      </c>
      <c r="E47" s="19" t="s">
        <v>163</v>
      </c>
    </row>
    <row r="48" spans="1:5" x14ac:dyDescent="0.25">
      <c r="A48" s="15" t="str">
        <f>IF(COUNTIF($E:$E,B48),"Yes","No")</f>
        <v>Yes</v>
      </c>
      <c r="B48" s="19" t="s">
        <v>128</v>
      </c>
      <c r="C48" s="17" t="s">
        <v>129</v>
      </c>
      <c r="E48" s="19" t="s">
        <v>128</v>
      </c>
    </row>
    <row r="49" spans="1:5" x14ac:dyDescent="0.25">
      <c r="C49" s="18" t="s">
        <v>65</v>
      </c>
      <c r="E49" s="19" t="s">
        <v>164</v>
      </c>
    </row>
    <row r="50" spans="1:5" x14ac:dyDescent="0.25">
      <c r="A50" s="15" t="str">
        <f>IF(COUNTIF($E:$E,B50),"Yes","No")</f>
        <v>Yes</v>
      </c>
      <c r="B50" s="19" t="s">
        <v>130</v>
      </c>
      <c r="C50" s="17" t="s">
        <v>131</v>
      </c>
      <c r="D50" s="17" t="s">
        <v>132</v>
      </c>
      <c r="E50" s="19" t="s">
        <v>165</v>
      </c>
    </row>
    <row r="51" spans="1:5" x14ac:dyDescent="0.25">
      <c r="A51" s="15" t="str">
        <f>IF(COUNTIF($E:$E,B51),"Yes","No")</f>
        <v>Yes</v>
      </c>
      <c r="B51" s="19" t="s">
        <v>130</v>
      </c>
      <c r="C51" s="17" t="s">
        <v>133</v>
      </c>
      <c r="D51" s="17" t="s">
        <v>134</v>
      </c>
      <c r="E51" s="19" t="s">
        <v>166</v>
      </c>
    </row>
    <row r="52" spans="1:5" x14ac:dyDescent="0.25">
      <c r="A52" s="15" t="str">
        <f>IF(COUNTIF($E:$E,B52),"Yes","No")</f>
        <v>Yes</v>
      </c>
      <c r="B52" s="19" t="s">
        <v>135</v>
      </c>
      <c r="C52" s="17" t="s">
        <v>136</v>
      </c>
      <c r="E52" s="19" t="s">
        <v>167</v>
      </c>
    </row>
    <row r="53" spans="1:5" x14ac:dyDescent="0.25">
      <c r="C53" s="18" t="s">
        <v>66</v>
      </c>
      <c r="E53" s="19" t="s">
        <v>168</v>
      </c>
    </row>
    <row r="54" spans="1:5" x14ac:dyDescent="0.25">
      <c r="A54" s="15" t="str">
        <f>IF(COUNTIF($E:$E,B54),"Yes","No")</f>
        <v>Yes</v>
      </c>
      <c r="B54" s="19" t="s">
        <v>137</v>
      </c>
      <c r="C54" s="17" t="s">
        <v>138</v>
      </c>
      <c r="E54" s="19" t="s">
        <v>169</v>
      </c>
    </row>
    <row r="55" spans="1:5" x14ac:dyDescent="0.25">
      <c r="A55" s="15" t="str">
        <f>IF(COUNTIF($E:$E,B55),"Yes","No")</f>
        <v>Yes</v>
      </c>
      <c r="B55" s="19" t="s">
        <v>139</v>
      </c>
      <c r="C55" s="17" t="s">
        <v>140</v>
      </c>
      <c r="E55" s="19" t="s">
        <v>125</v>
      </c>
    </row>
    <row r="56" spans="1:5" x14ac:dyDescent="0.25">
      <c r="A56" s="15" t="str">
        <f>IF(COUNTIF($E:$E,B56),"Yes","No")</f>
        <v>Yes</v>
      </c>
      <c r="B56" s="19" t="s">
        <v>46</v>
      </c>
      <c r="C56" s="17" t="s">
        <v>141</v>
      </c>
      <c r="E56" s="19" t="s">
        <v>170</v>
      </c>
    </row>
    <row r="57" spans="1:5" x14ac:dyDescent="0.25">
      <c r="C57" s="18" t="s">
        <v>67</v>
      </c>
      <c r="E57" s="19" t="s">
        <v>171</v>
      </c>
    </row>
    <row r="58" spans="1:5" x14ac:dyDescent="0.25">
      <c r="C58" s="18" t="s">
        <v>48</v>
      </c>
      <c r="E58" s="19" t="s">
        <v>135</v>
      </c>
    </row>
    <row r="59" spans="1:5" x14ac:dyDescent="0.25">
      <c r="C59" s="18" t="s">
        <v>49</v>
      </c>
      <c r="E59" s="19" t="s">
        <v>139</v>
      </c>
    </row>
    <row r="60" spans="1:5" x14ac:dyDescent="0.25">
      <c r="C60" s="18" t="s">
        <v>68</v>
      </c>
      <c r="E60" s="19" t="s">
        <v>137</v>
      </c>
    </row>
    <row r="61" spans="1:5" x14ac:dyDescent="0.25">
      <c r="E61" s="19" t="s">
        <v>172</v>
      </c>
    </row>
    <row r="62" spans="1:5" x14ac:dyDescent="0.25">
      <c r="E62" s="19" t="s">
        <v>173</v>
      </c>
    </row>
    <row r="63" spans="1:5" x14ac:dyDescent="0.25">
      <c r="E63" s="19" t="s">
        <v>174</v>
      </c>
    </row>
    <row r="64" spans="1:5" x14ac:dyDescent="0.25">
      <c r="E64" s="19" t="s">
        <v>46</v>
      </c>
    </row>
    <row r="65" spans="5:5" x14ac:dyDescent="0.25">
      <c r="E65" s="20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5240-1190-486A-90A8-D1619A043213}">
  <dimension ref="A2:T93"/>
  <sheetViews>
    <sheetView showGridLines="0" workbookViewId="0"/>
  </sheetViews>
  <sheetFormatPr defaultRowHeight="15" x14ac:dyDescent="0.25"/>
  <cols>
    <col min="3" max="3" width="58.7109375" customWidth="1"/>
    <col min="4" max="4" width="2.7109375" customWidth="1"/>
    <col min="5" max="17" width="11.7109375" customWidth="1"/>
    <col min="19" max="20" width="0" hidden="1" customWidth="1"/>
  </cols>
  <sheetData>
    <row r="2" spans="1:20" x14ac:dyDescent="0.25">
      <c r="C2" s="5" t="s">
        <v>0</v>
      </c>
    </row>
    <row r="3" spans="1:20" ht="15.75" x14ac:dyDescent="0.25">
      <c r="C3" s="6" t="s">
        <v>50</v>
      </c>
    </row>
    <row r="4" spans="1:20" x14ac:dyDescent="0.25">
      <c r="C4" s="7" t="s">
        <v>51</v>
      </c>
    </row>
    <row r="5" spans="1:20" x14ac:dyDescent="0.25">
      <c r="C5" t="s">
        <v>52</v>
      </c>
    </row>
    <row r="6" spans="1:20" x14ac:dyDescent="0.25">
      <c r="A6" t="s">
        <v>53</v>
      </c>
      <c r="C6" s="8" t="s">
        <v>6</v>
      </c>
      <c r="D6" s="8"/>
      <c r="E6" s="9">
        <v>45869</v>
      </c>
      <c r="F6" s="9">
        <v>45900</v>
      </c>
      <c r="G6" s="9">
        <v>45930</v>
      </c>
      <c r="H6" s="9">
        <v>45961</v>
      </c>
      <c r="I6" s="9">
        <v>45991</v>
      </c>
      <c r="J6" s="9">
        <v>46022</v>
      </c>
      <c r="K6" s="9">
        <v>46053</v>
      </c>
      <c r="L6" s="9">
        <v>46081</v>
      </c>
      <c r="M6" s="9">
        <v>46112</v>
      </c>
      <c r="N6" s="9">
        <v>46142</v>
      </c>
      <c r="O6" s="9">
        <v>46173</v>
      </c>
      <c r="P6" s="9">
        <v>46203</v>
      </c>
      <c r="Q6" s="8" t="s">
        <v>5</v>
      </c>
    </row>
    <row r="8" spans="1:20" x14ac:dyDescent="0.25">
      <c r="C8" s="10" t="str">
        <f>IF(S8="",T8,S8&amp;"  -  "&amp;T8)</f>
        <v>4010  -  Rent Income - IL</v>
      </c>
      <c r="E8" s="11">
        <v>130152</v>
      </c>
      <c r="F8" s="11">
        <v>130398</v>
      </c>
      <c r="G8" s="11">
        <v>133507</v>
      </c>
      <c r="H8" s="11">
        <v>132350</v>
      </c>
      <c r="I8" s="11">
        <v>135400</v>
      </c>
      <c r="J8" s="11">
        <v>135680</v>
      </c>
      <c r="K8" s="11">
        <v>136760</v>
      </c>
      <c r="L8" s="11">
        <v>133994</v>
      </c>
      <c r="M8" s="11">
        <v>138063</v>
      </c>
      <c r="N8" s="11">
        <v>137300</v>
      </c>
      <c r="O8" s="11">
        <v>139892</v>
      </c>
      <c r="P8" s="11">
        <v>140535</v>
      </c>
      <c r="Q8" s="11">
        <f>SUM(E8:P8)</f>
        <v>1624031</v>
      </c>
      <c r="S8">
        <v>4010</v>
      </c>
      <c r="T8" t="s">
        <v>7</v>
      </c>
    </row>
    <row r="9" spans="1:20" x14ac:dyDescent="0.25">
      <c r="C9" s="10" t="str">
        <f>IF(S9="",T9,S9&amp;"  -  "&amp;T9)</f>
        <v>4020  -  Rent Income - AL</v>
      </c>
      <c r="E9" s="11">
        <v>120910</v>
      </c>
      <c r="F9" s="11">
        <v>125160</v>
      </c>
      <c r="G9" s="11">
        <v>124124</v>
      </c>
      <c r="H9" s="11">
        <v>118673</v>
      </c>
      <c r="I9" s="11">
        <v>123170</v>
      </c>
      <c r="J9" s="11">
        <v>128565</v>
      </c>
      <c r="K9" s="11">
        <v>129671</v>
      </c>
      <c r="L9" s="11">
        <v>125562</v>
      </c>
      <c r="M9" s="11">
        <v>125145</v>
      </c>
      <c r="N9" s="11">
        <v>128700</v>
      </c>
      <c r="O9" s="11">
        <v>127791</v>
      </c>
      <c r="P9" s="11">
        <v>128925</v>
      </c>
      <c r="Q9" s="11">
        <f>SUM(E9:P9)</f>
        <v>1506396</v>
      </c>
      <c r="S9">
        <v>4020</v>
      </c>
      <c r="T9" t="s">
        <v>8</v>
      </c>
    </row>
    <row r="10" spans="1:20" x14ac:dyDescent="0.25">
      <c r="C10" s="10" t="str">
        <f>IF(S10="",T10,S10&amp;"  -  "&amp;T10)</f>
        <v>4030  -  Rent Income - MC</v>
      </c>
      <c r="E10" s="11">
        <v>86707</v>
      </c>
      <c r="F10" s="11">
        <v>93912</v>
      </c>
      <c r="G10" s="11">
        <v>93135</v>
      </c>
      <c r="H10" s="11">
        <v>92846</v>
      </c>
      <c r="I10" s="11">
        <v>101036</v>
      </c>
      <c r="J10" s="11">
        <v>94072</v>
      </c>
      <c r="K10" s="11">
        <v>94660</v>
      </c>
      <c r="L10" s="11">
        <v>102463</v>
      </c>
      <c r="M10" s="11">
        <v>101721</v>
      </c>
      <c r="N10" s="11">
        <v>93124</v>
      </c>
      <c r="O10" s="11">
        <v>100585</v>
      </c>
      <c r="P10" s="11">
        <v>101595</v>
      </c>
      <c r="Q10" s="11">
        <f>SUM(E10:P10)</f>
        <v>1155856</v>
      </c>
      <c r="S10">
        <v>4030</v>
      </c>
      <c r="T10" t="s">
        <v>9</v>
      </c>
    </row>
    <row r="12" spans="1:20" x14ac:dyDescent="0.25">
      <c r="A12" t="s">
        <v>53</v>
      </c>
      <c r="C12" s="12" t="s">
        <v>54</v>
      </c>
      <c r="D12" s="12"/>
      <c r="E12" s="13">
        <f t="shared" ref="E12:Q12" si="0">E8+E9+E10</f>
        <v>337769</v>
      </c>
      <c r="F12" s="13">
        <f t="shared" si="0"/>
        <v>349470</v>
      </c>
      <c r="G12" s="13">
        <f t="shared" si="0"/>
        <v>350766</v>
      </c>
      <c r="H12" s="13">
        <f t="shared" si="0"/>
        <v>343869</v>
      </c>
      <c r="I12" s="13">
        <f t="shared" si="0"/>
        <v>359606</v>
      </c>
      <c r="J12" s="13">
        <f t="shared" si="0"/>
        <v>358317</v>
      </c>
      <c r="K12" s="13">
        <f t="shared" si="0"/>
        <v>361091</v>
      </c>
      <c r="L12" s="13">
        <f t="shared" si="0"/>
        <v>362019</v>
      </c>
      <c r="M12" s="13">
        <f t="shared" si="0"/>
        <v>364929</v>
      </c>
      <c r="N12" s="13">
        <f t="shared" si="0"/>
        <v>359124</v>
      </c>
      <c r="O12" s="13">
        <f t="shared" si="0"/>
        <v>368268</v>
      </c>
      <c r="P12" s="13">
        <f t="shared" si="0"/>
        <v>371055</v>
      </c>
      <c r="Q12" s="13">
        <f t="shared" si="0"/>
        <v>4286283</v>
      </c>
    </row>
    <row r="14" spans="1:20" x14ac:dyDescent="0.25">
      <c r="C14" s="10" t="str">
        <f>IF(S14="",T14,S14&amp;"  -  "&amp;T14)</f>
        <v>4110  -  Care Level Income - AL</v>
      </c>
      <c r="E14" s="11">
        <v>25794</v>
      </c>
      <c r="F14" s="11">
        <v>26554</v>
      </c>
      <c r="G14" s="11">
        <v>26411</v>
      </c>
      <c r="H14" s="11">
        <v>25486</v>
      </c>
      <c r="I14" s="11">
        <v>26677</v>
      </c>
      <c r="J14" s="11">
        <v>27880</v>
      </c>
      <c r="K14" s="11">
        <v>27928</v>
      </c>
      <c r="L14" s="11">
        <v>26782</v>
      </c>
      <c r="M14" s="11">
        <v>26550</v>
      </c>
      <c r="N14" s="11">
        <v>27389</v>
      </c>
      <c r="O14" s="11">
        <v>27449</v>
      </c>
      <c r="P14" s="11">
        <v>27660</v>
      </c>
      <c r="Q14" s="11">
        <f>SUM(E14:P14)</f>
        <v>322560</v>
      </c>
      <c r="S14">
        <v>4110</v>
      </c>
      <c r="T14" t="s">
        <v>10</v>
      </c>
    </row>
    <row r="15" spans="1:20" x14ac:dyDescent="0.25">
      <c r="C15" s="10" t="str">
        <f>IF(S15="",T15,S15&amp;"  -  "&amp;T15)</f>
        <v>4120  -  Care Level Income - MC</v>
      </c>
      <c r="E15" s="11">
        <v>15207</v>
      </c>
      <c r="F15" s="11">
        <v>16471</v>
      </c>
      <c r="G15" s="11">
        <v>16462</v>
      </c>
      <c r="H15" s="11">
        <v>16569</v>
      </c>
      <c r="I15" s="11">
        <v>18104</v>
      </c>
      <c r="J15" s="11">
        <v>16781</v>
      </c>
      <c r="K15" s="11">
        <v>16726</v>
      </c>
      <c r="L15" s="11">
        <v>17969</v>
      </c>
      <c r="M15" s="11">
        <v>17842</v>
      </c>
      <c r="N15" s="11">
        <v>16463</v>
      </c>
      <c r="O15" s="11">
        <v>17953</v>
      </c>
      <c r="P15" s="11">
        <v>18000</v>
      </c>
      <c r="Q15" s="11">
        <f>SUM(E15:P15)</f>
        <v>204547</v>
      </c>
      <c r="S15">
        <v>4120</v>
      </c>
      <c r="T15" t="s">
        <v>11</v>
      </c>
    </row>
    <row r="17" spans="1:20" x14ac:dyDescent="0.25">
      <c r="A17" t="s">
        <v>53</v>
      </c>
      <c r="C17" s="12" t="s">
        <v>55</v>
      </c>
      <c r="D17" s="12"/>
      <c r="E17" s="13">
        <f t="shared" ref="E17:Q17" si="1">E14+E15</f>
        <v>41001</v>
      </c>
      <c r="F17" s="13">
        <f t="shared" si="1"/>
        <v>43025</v>
      </c>
      <c r="G17" s="13">
        <f t="shared" si="1"/>
        <v>42873</v>
      </c>
      <c r="H17" s="13">
        <f t="shared" si="1"/>
        <v>42055</v>
      </c>
      <c r="I17" s="13">
        <f t="shared" si="1"/>
        <v>44781</v>
      </c>
      <c r="J17" s="13">
        <f t="shared" si="1"/>
        <v>44661</v>
      </c>
      <c r="K17" s="13">
        <f t="shared" si="1"/>
        <v>44654</v>
      </c>
      <c r="L17" s="13">
        <f t="shared" si="1"/>
        <v>44751</v>
      </c>
      <c r="M17" s="13">
        <f t="shared" si="1"/>
        <v>44392</v>
      </c>
      <c r="N17" s="13">
        <f t="shared" si="1"/>
        <v>43852</v>
      </c>
      <c r="O17" s="13">
        <f t="shared" si="1"/>
        <v>45402</v>
      </c>
      <c r="P17" s="13">
        <f t="shared" si="1"/>
        <v>45660</v>
      </c>
      <c r="Q17" s="13">
        <f t="shared" si="1"/>
        <v>527107</v>
      </c>
    </row>
    <row r="19" spans="1:20" x14ac:dyDescent="0.25">
      <c r="C19" s="10" t="str">
        <f>IF(S19="",T19,S19&amp;"  -  "&amp;T19)</f>
        <v>4210  -  Second Person Fees</v>
      </c>
      <c r="E19" s="11">
        <v>7297</v>
      </c>
      <c r="F19" s="11">
        <v>7396</v>
      </c>
      <c r="G19" s="11">
        <v>7551</v>
      </c>
      <c r="H19" s="11">
        <v>7493</v>
      </c>
      <c r="I19" s="11">
        <v>7787</v>
      </c>
      <c r="J19" s="11">
        <v>7905</v>
      </c>
      <c r="K19" s="11">
        <v>7847</v>
      </c>
      <c r="L19" s="11">
        <v>7539</v>
      </c>
      <c r="M19" s="11">
        <v>7638</v>
      </c>
      <c r="N19" s="11">
        <v>7795</v>
      </c>
      <c r="O19" s="11">
        <v>7986</v>
      </c>
      <c r="P19" s="11">
        <v>7960</v>
      </c>
      <c r="Q19" s="11">
        <f>SUM(E19:P19)</f>
        <v>92194</v>
      </c>
      <c r="S19">
        <v>4210</v>
      </c>
      <c r="T19" t="s">
        <v>12</v>
      </c>
    </row>
    <row r="20" spans="1:20" x14ac:dyDescent="0.25">
      <c r="C20" s="10" t="str">
        <f>IF(S20="",T20,S20&amp;"  -  "&amp;T20)</f>
        <v>4310  -  Community Fees</v>
      </c>
      <c r="E20" s="11">
        <v>4087</v>
      </c>
      <c r="F20" s="11">
        <v>9901</v>
      </c>
      <c r="G20" s="11">
        <v>5616</v>
      </c>
      <c r="H20" s="11">
        <v>3000</v>
      </c>
      <c r="I20" s="11">
        <v>13391</v>
      </c>
      <c r="J20" s="11">
        <v>3969</v>
      </c>
      <c r="K20" s="11">
        <v>3000</v>
      </c>
      <c r="L20" s="11">
        <v>3000</v>
      </c>
      <c r="M20" s="11">
        <v>6430</v>
      </c>
      <c r="N20" s="11">
        <v>4092</v>
      </c>
      <c r="O20" s="11">
        <v>9873</v>
      </c>
      <c r="P20" s="11">
        <v>3000</v>
      </c>
      <c r="Q20" s="11">
        <f>SUM(E20:P20)</f>
        <v>69359</v>
      </c>
      <c r="S20">
        <v>4310</v>
      </c>
      <c r="T20" t="s">
        <v>13</v>
      </c>
    </row>
    <row r="21" spans="1:20" x14ac:dyDescent="0.25">
      <c r="C21" s="10" t="str">
        <f>IF(S21="",T21,S21&amp;"  -  "&amp;T21)</f>
        <v>4410  -  Other Resident Income</v>
      </c>
      <c r="E21" s="11">
        <v>3577</v>
      </c>
      <c r="F21" s="11">
        <v>3254</v>
      </c>
      <c r="G21" s="11">
        <v>2852</v>
      </c>
      <c r="H21" s="11">
        <v>2960</v>
      </c>
      <c r="I21" s="11">
        <v>3420</v>
      </c>
      <c r="J21" s="11">
        <v>3557</v>
      </c>
      <c r="K21" s="11">
        <v>3171</v>
      </c>
      <c r="L21" s="11">
        <v>2827</v>
      </c>
      <c r="M21" s="11">
        <v>3029</v>
      </c>
      <c r="N21" s="11">
        <v>3481</v>
      </c>
      <c r="O21" s="11">
        <v>3521</v>
      </c>
      <c r="P21" s="11">
        <v>3091</v>
      </c>
      <c r="Q21" s="11">
        <f>SUM(E21:P21)</f>
        <v>38740</v>
      </c>
      <c r="S21">
        <v>4410</v>
      </c>
      <c r="T21" t="s">
        <v>14</v>
      </c>
    </row>
    <row r="22" spans="1:20" x14ac:dyDescent="0.25">
      <c r="C22" s="10" t="str">
        <f>IF(S22="",T22,S22&amp;"  -  "&amp;T22)</f>
        <v>4510  -  Guest Meals &amp; Ancillary</v>
      </c>
      <c r="E22" s="11">
        <v>2517</v>
      </c>
      <c r="F22" s="11">
        <v>1915</v>
      </c>
      <c r="G22" s="11">
        <v>2183</v>
      </c>
      <c r="H22" s="11">
        <v>2715</v>
      </c>
      <c r="I22" s="11">
        <v>2310</v>
      </c>
      <c r="J22" s="11">
        <v>1882</v>
      </c>
      <c r="K22" s="11">
        <v>2397</v>
      </c>
      <c r="L22" s="11">
        <v>2693</v>
      </c>
      <c r="M22" s="11">
        <v>2102</v>
      </c>
      <c r="N22" s="11">
        <v>1958</v>
      </c>
      <c r="O22" s="11">
        <v>2586</v>
      </c>
      <c r="P22" s="11">
        <v>2568</v>
      </c>
      <c r="Q22" s="11">
        <f>SUM(E22:P22)</f>
        <v>27826</v>
      </c>
      <c r="S22">
        <v>4510</v>
      </c>
      <c r="T22" t="s">
        <v>15</v>
      </c>
    </row>
    <row r="24" spans="1:20" x14ac:dyDescent="0.25">
      <c r="A24" t="s">
        <v>53</v>
      </c>
      <c r="C24" s="12" t="s">
        <v>56</v>
      </c>
      <c r="D24" s="12"/>
      <c r="E24" s="13">
        <f t="shared" ref="E24:Q24" si="2">E19+E20+E21+E22</f>
        <v>17478</v>
      </c>
      <c r="F24" s="13">
        <f t="shared" si="2"/>
        <v>22466</v>
      </c>
      <c r="G24" s="13">
        <f t="shared" si="2"/>
        <v>18202</v>
      </c>
      <c r="H24" s="13">
        <f t="shared" si="2"/>
        <v>16168</v>
      </c>
      <c r="I24" s="13">
        <f t="shared" si="2"/>
        <v>26908</v>
      </c>
      <c r="J24" s="13">
        <f t="shared" si="2"/>
        <v>17313</v>
      </c>
      <c r="K24" s="13">
        <f t="shared" si="2"/>
        <v>16415</v>
      </c>
      <c r="L24" s="13">
        <f t="shared" si="2"/>
        <v>16059</v>
      </c>
      <c r="M24" s="13">
        <f t="shared" si="2"/>
        <v>19199</v>
      </c>
      <c r="N24" s="13">
        <f t="shared" si="2"/>
        <v>17326</v>
      </c>
      <c r="O24" s="13">
        <f t="shared" si="2"/>
        <v>23966</v>
      </c>
      <c r="P24" s="13">
        <f t="shared" si="2"/>
        <v>16619</v>
      </c>
      <c r="Q24" s="13">
        <f t="shared" si="2"/>
        <v>228119</v>
      </c>
    </row>
    <row r="26" spans="1:20" x14ac:dyDescent="0.25">
      <c r="A26" t="s">
        <v>53</v>
      </c>
      <c r="C26" s="12" t="s">
        <v>16</v>
      </c>
      <c r="D26" s="12"/>
      <c r="E26" s="13">
        <f t="shared" ref="E26:Q26" si="3">E12+E17+E24</f>
        <v>396248</v>
      </c>
      <c r="F26" s="13">
        <f t="shared" si="3"/>
        <v>414961</v>
      </c>
      <c r="G26" s="13">
        <f t="shared" si="3"/>
        <v>411841</v>
      </c>
      <c r="H26" s="13">
        <f t="shared" si="3"/>
        <v>402092</v>
      </c>
      <c r="I26" s="13">
        <f t="shared" si="3"/>
        <v>431295</v>
      </c>
      <c r="J26" s="13">
        <f t="shared" si="3"/>
        <v>420291</v>
      </c>
      <c r="K26" s="13">
        <f t="shared" si="3"/>
        <v>422160</v>
      </c>
      <c r="L26" s="13">
        <f t="shared" si="3"/>
        <v>422829</v>
      </c>
      <c r="M26" s="13">
        <f t="shared" si="3"/>
        <v>428520</v>
      </c>
      <c r="N26" s="13">
        <f t="shared" si="3"/>
        <v>420302</v>
      </c>
      <c r="O26" s="13">
        <f t="shared" si="3"/>
        <v>437636</v>
      </c>
      <c r="P26" s="13">
        <f t="shared" si="3"/>
        <v>433334</v>
      </c>
      <c r="Q26" s="13">
        <f t="shared" si="3"/>
        <v>5041509</v>
      </c>
    </row>
    <row r="28" spans="1:20" x14ac:dyDescent="0.25">
      <c r="A28" t="s">
        <v>53</v>
      </c>
      <c r="C28" s="8" t="s">
        <v>57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30" spans="1:20" x14ac:dyDescent="0.25">
      <c r="C30" s="10" t="str">
        <f>IF(S30="",T30,S30&amp;"  -  "&amp;T30)</f>
        <v>6110  -  Dining Wages</v>
      </c>
      <c r="E30" s="11">
        <v>24823</v>
      </c>
      <c r="F30" s="11">
        <v>24567</v>
      </c>
      <c r="G30" s="11">
        <v>24610</v>
      </c>
      <c r="H30" s="11">
        <v>24904</v>
      </c>
      <c r="I30" s="11">
        <v>25129</v>
      </c>
      <c r="J30" s="11">
        <v>25038</v>
      </c>
      <c r="K30" s="11">
        <v>24731</v>
      </c>
      <c r="L30" s="11">
        <v>24543</v>
      </c>
      <c r="M30" s="11">
        <v>24680</v>
      </c>
      <c r="N30" s="11">
        <v>24992</v>
      </c>
      <c r="O30" s="11">
        <v>25137</v>
      </c>
      <c r="P30" s="11">
        <v>24958</v>
      </c>
      <c r="Q30" s="11">
        <f>SUM(E30:P30)</f>
        <v>298112</v>
      </c>
      <c r="S30">
        <v>6110</v>
      </c>
      <c r="T30" t="s">
        <v>21</v>
      </c>
    </row>
    <row r="31" spans="1:20" x14ac:dyDescent="0.25">
      <c r="C31" s="10" t="str">
        <f>IF(S31="",T31,S31&amp;"  -  "&amp;T31)</f>
        <v>6120  -  Dining Director</v>
      </c>
      <c r="E31" s="11">
        <v>4749</v>
      </c>
      <c r="F31" s="11">
        <v>4728</v>
      </c>
      <c r="G31" s="11">
        <v>4768</v>
      </c>
      <c r="H31" s="11">
        <v>4826</v>
      </c>
      <c r="I31" s="11">
        <v>4838</v>
      </c>
      <c r="J31" s="11">
        <v>4791</v>
      </c>
      <c r="K31" s="11">
        <v>4736</v>
      </c>
      <c r="L31" s="11">
        <v>4734</v>
      </c>
      <c r="M31" s="11">
        <v>4786</v>
      </c>
      <c r="N31" s="11">
        <v>4836</v>
      </c>
      <c r="O31" s="11">
        <v>4829</v>
      </c>
      <c r="P31" s="11">
        <v>4773</v>
      </c>
      <c r="Q31" s="11">
        <f>SUM(E31:P31)</f>
        <v>57394</v>
      </c>
      <c r="S31">
        <v>6120</v>
      </c>
      <c r="T31" t="s">
        <v>22</v>
      </c>
    </row>
    <row r="32" spans="1:20" x14ac:dyDescent="0.25">
      <c r="C32" s="10" t="str">
        <f>IF(S32="",T32,S32&amp;"  -  "&amp;T32)</f>
        <v>7010  -  Raw Food</v>
      </c>
      <c r="E32" s="11">
        <v>14219</v>
      </c>
      <c r="F32" s="11">
        <v>14256</v>
      </c>
      <c r="G32" s="11">
        <v>14128</v>
      </c>
      <c r="H32" s="11">
        <v>13913</v>
      </c>
      <c r="I32" s="11">
        <v>13740</v>
      </c>
      <c r="J32" s="11">
        <v>13716</v>
      </c>
      <c r="K32" s="11">
        <v>13854</v>
      </c>
      <c r="L32" s="11">
        <v>14071</v>
      </c>
      <c r="M32" s="11">
        <v>14235</v>
      </c>
      <c r="N32" s="11">
        <v>14247</v>
      </c>
      <c r="O32" s="11">
        <v>14099</v>
      </c>
      <c r="P32" s="11">
        <v>13882</v>
      </c>
      <c r="Q32" s="11">
        <f>SUM(E32:P32)</f>
        <v>168360</v>
      </c>
      <c r="S32">
        <v>7010</v>
      </c>
      <c r="T32" t="s">
        <v>33</v>
      </c>
    </row>
    <row r="33" spans="1:20" x14ac:dyDescent="0.25">
      <c r="C33" s="10" t="str">
        <f>IF(S33="",T33,S33&amp;"  -  "&amp;T33)</f>
        <v>7020  -  Dining Supplies</v>
      </c>
      <c r="E33" s="11">
        <v>2252</v>
      </c>
      <c r="F33" s="11">
        <v>2234</v>
      </c>
      <c r="G33" s="11">
        <v>2193</v>
      </c>
      <c r="H33" s="11">
        <v>2165</v>
      </c>
      <c r="I33" s="11">
        <v>2177</v>
      </c>
      <c r="J33" s="11">
        <v>2217</v>
      </c>
      <c r="K33" s="11">
        <v>2249</v>
      </c>
      <c r="L33" s="11">
        <v>2243</v>
      </c>
      <c r="M33" s="11">
        <v>2205</v>
      </c>
      <c r="N33" s="11">
        <v>2169</v>
      </c>
      <c r="O33" s="11">
        <v>2169</v>
      </c>
      <c r="P33" s="11">
        <v>2205</v>
      </c>
      <c r="Q33" s="11">
        <f>SUM(E33:P33)</f>
        <v>26478</v>
      </c>
      <c r="S33">
        <v>7020</v>
      </c>
      <c r="T33" t="s">
        <v>34</v>
      </c>
    </row>
    <row r="35" spans="1:20" x14ac:dyDescent="0.25">
      <c r="A35" t="s">
        <v>53</v>
      </c>
      <c r="C35" s="12" t="s">
        <v>58</v>
      </c>
      <c r="D35" s="12"/>
      <c r="E35" s="13">
        <f t="shared" ref="E35:Q35" si="4">E30+E31+E32+E33</f>
        <v>46043</v>
      </c>
      <c r="F35" s="13">
        <f t="shared" si="4"/>
        <v>45785</v>
      </c>
      <c r="G35" s="13">
        <f t="shared" si="4"/>
        <v>45699</v>
      </c>
      <c r="H35" s="13">
        <f t="shared" si="4"/>
        <v>45808</v>
      </c>
      <c r="I35" s="13">
        <f t="shared" si="4"/>
        <v>45884</v>
      </c>
      <c r="J35" s="13">
        <f t="shared" si="4"/>
        <v>45762</v>
      </c>
      <c r="K35" s="13">
        <f t="shared" si="4"/>
        <v>45570</v>
      </c>
      <c r="L35" s="13">
        <f t="shared" si="4"/>
        <v>45591</v>
      </c>
      <c r="M35" s="13">
        <f t="shared" si="4"/>
        <v>45906</v>
      </c>
      <c r="N35" s="13">
        <f t="shared" si="4"/>
        <v>46244</v>
      </c>
      <c r="O35" s="13">
        <f t="shared" si="4"/>
        <v>46234</v>
      </c>
      <c r="P35" s="13">
        <f t="shared" si="4"/>
        <v>45818</v>
      </c>
      <c r="Q35" s="13">
        <f t="shared" si="4"/>
        <v>550344</v>
      </c>
    </row>
    <row r="37" spans="1:20" x14ac:dyDescent="0.25">
      <c r="C37" s="10" t="str">
        <f>IF(S37="",T37,S37&amp;"  -  "&amp;T37)</f>
        <v>6410  -  Activities Wages</v>
      </c>
      <c r="E37" s="11">
        <v>6209</v>
      </c>
      <c r="F37" s="11">
        <v>6286</v>
      </c>
      <c r="G37" s="11">
        <v>6331</v>
      </c>
      <c r="H37" s="11">
        <v>6294</v>
      </c>
      <c r="I37" s="11">
        <v>6215</v>
      </c>
      <c r="J37" s="11">
        <v>6181</v>
      </c>
      <c r="K37" s="11">
        <v>6229</v>
      </c>
      <c r="L37" s="11">
        <v>6306</v>
      </c>
      <c r="M37" s="11">
        <v>6328</v>
      </c>
      <c r="N37" s="11">
        <v>6271</v>
      </c>
      <c r="O37" s="11">
        <v>6198</v>
      </c>
      <c r="P37" s="11">
        <v>6187</v>
      </c>
      <c r="Q37" s="11">
        <f>SUM(E37:P37)</f>
        <v>75035</v>
      </c>
      <c r="S37">
        <v>6410</v>
      </c>
      <c r="T37" t="s">
        <v>25</v>
      </c>
    </row>
    <row r="39" spans="1:20" x14ac:dyDescent="0.25">
      <c r="A39" t="s">
        <v>53</v>
      </c>
      <c r="C39" s="12" t="s">
        <v>59</v>
      </c>
      <c r="D39" s="12"/>
      <c r="E39" s="13">
        <f t="shared" ref="E39:Q39" si="5">E37</f>
        <v>6209</v>
      </c>
      <c r="F39" s="13">
        <f t="shared" si="5"/>
        <v>6286</v>
      </c>
      <c r="G39" s="13">
        <f t="shared" si="5"/>
        <v>6331</v>
      </c>
      <c r="H39" s="13">
        <f t="shared" si="5"/>
        <v>6294</v>
      </c>
      <c r="I39" s="13">
        <f t="shared" si="5"/>
        <v>6215</v>
      </c>
      <c r="J39" s="13">
        <f t="shared" si="5"/>
        <v>6181</v>
      </c>
      <c r="K39" s="13">
        <f t="shared" si="5"/>
        <v>6229</v>
      </c>
      <c r="L39" s="13">
        <f t="shared" si="5"/>
        <v>6306</v>
      </c>
      <c r="M39" s="13">
        <f t="shared" si="5"/>
        <v>6328</v>
      </c>
      <c r="N39" s="13">
        <f t="shared" si="5"/>
        <v>6271</v>
      </c>
      <c r="O39" s="13">
        <f t="shared" si="5"/>
        <v>6198</v>
      </c>
      <c r="P39" s="13">
        <f t="shared" si="5"/>
        <v>6187</v>
      </c>
      <c r="Q39" s="13">
        <f t="shared" si="5"/>
        <v>75035</v>
      </c>
    </row>
    <row r="41" spans="1:20" x14ac:dyDescent="0.25">
      <c r="C41" s="10" t="str">
        <f>IF(S41="",T41,S41&amp;"  -  "&amp;T41)</f>
        <v>6010  -  Caregiver Wages</v>
      </c>
      <c r="E41" s="11">
        <v>45613</v>
      </c>
      <c r="F41" s="11">
        <v>45404</v>
      </c>
      <c r="G41" s="11">
        <v>44841</v>
      </c>
      <c r="H41" s="11">
        <v>44539</v>
      </c>
      <c r="I41" s="11">
        <v>44829</v>
      </c>
      <c r="J41" s="11">
        <v>45393</v>
      </c>
      <c r="K41" s="11">
        <v>45615</v>
      </c>
      <c r="L41" s="11">
        <v>45253</v>
      </c>
      <c r="M41" s="11">
        <v>44701</v>
      </c>
      <c r="N41" s="11">
        <v>44564</v>
      </c>
      <c r="O41" s="11">
        <v>44990</v>
      </c>
      <c r="P41" s="11">
        <v>45515</v>
      </c>
      <c r="Q41" s="11">
        <f>SUM(E41:P41)</f>
        <v>541257</v>
      </c>
      <c r="S41">
        <v>6010</v>
      </c>
      <c r="T41" t="s">
        <v>18</v>
      </c>
    </row>
    <row r="42" spans="1:20" x14ac:dyDescent="0.25">
      <c r="C42" s="10" t="str">
        <f>IF(S42="",T42,S42&amp;"  -  "&amp;T42)</f>
        <v>6020  -  Med Tech Wages</v>
      </c>
      <c r="E42" s="11">
        <v>17206</v>
      </c>
      <c r="F42" s="11">
        <v>17028</v>
      </c>
      <c r="G42" s="11">
        <v>16842</v>
      </c>
      <c r="H42" s="11">
        <v>16850</v>
      </c>
      <c r="I42" s="11">
        <v>17044</v>
      </c>
      <c r="J42" s="11">
        <v>17212</v>
      </c>
      <c r="K42" s="11">
        <v>17170</v>
      </c>
      <c r="L42" s="11">
        <v>16964</v>
      </c>
      <c r="M42" s="11">
        <v>16820</v>
      </c>
      <c r="N42" s="11">
        <v>16894</v>
      </c>
      <c r="O42" s="11">
        <v>17106</v>
      </c>
      <c r="P42" s="11">
        <v>17224</v>
      </c>
      <c r="Q42" s="11">
        <f>SUM(E42:P42)</f>
        <v>204360</v>
      </c>
      <c r="S42">
        <v>6020</v>
      </c>
      <c r="T42" t="s">
        <v>19</v>
      </c>
    </row>
    <row r="43" spans="1:20" x14ac:dyDescent="0.25">
      <c r="C43" s="10" t="str">
        <f>IF(S43="",T43,S43&amp;"  -  "&amp;T43)</f>
        <v>6030  -  Wellness Director</v>
      </c>
      <c r="E43" s="11">
        <v>5554</v>
      </c>
      <c r="F43" s="11">
        <v>5485</v>
      </c>
      <c r="G43" s="11">
        <v>5454</v>
      </c>
      <c r="H43" s="11">
        <v>5495</v>
      </c>
      <c r="I43" s="11">
        <v>5564</v>
      </c>
      <c r="J43" s="11">
        <v>5584</v>
      </c>
      <c r="K43" s="11">
        <v>5535</v>
      </c>
      <c r="L43" s="11">
        <v>5469</v>
      </c>
      <c r="M43" s="11">
        <v>5459</v>
      </c>
      <c r="N43" s="11">
        <v>5516</v>
      </c>
      <c r="O43" s="11">
        <v>5577</v>
      </c>
      <c r="P43" s="11">
        <v>5576</v>
      </c>
      <c r="Q43" s="11">
        <f>SUM(E43:P43)</f>
        <v>66268</v>
      </c>
      <c r="S43">
        <v>6030</v>
      </c>
      <c r="T43" t="s">
        <v>20</v>
      </c>
    </row>
    <row r="44" spans="1:20" x14ac:dyDescent="0.25">
      <c r="C44" s="10" t="str">
        <f>IF(S44="",T44,S44&amp;"  -  "&amp;T44)</f>
        <v>7210  -  Care Supplies</v>
      </c>
      <c r="E44" s="11">
        <v>3340</v>
      </c>
      <c r="F44" s="11">
        <v>3258</v>
      </c>
      <c r="G44" s="11">
        <v>3265</v>
      </c>
      <c r="H44" s="11">
        <v>3350</v>
      </c>
      <c r="I44" s="11">
        <v>3372</v>
      </c>
      <c r="J44" s="11">
        <v>3294</v>
      </c>
      <c r="K44" s="11">
        <v>3246</v>
      </c>
      <c r="L44" s="11">
        <v>3308</v>
      </c>
      <c r="M44" s="11">
        <v>3376</v>
      </c>
      <c r="N44" s="11">
        <v>3338</v>
      </c>
      <c r="O44" s="11">
        <v>3257</v>
      </c>
      <c r="P44" s="11">
        <v>3267</v>
      </c>
      <c r="Q44" s="11">
        <f>SUM(E44:P44)</f>
        <v>39671</v>
      </c>
      <c r="S44">
        <v>7210</v>
      </c>
      <c r="T44" t="s">
        <v>36</v>
      </c>
    </row>
    <row r="46" spans="1:20" x14ac:dyDescent="0.25">
      <c r="A46" t="s">
        <v>53</v>
      </c>
      <c r="C46" s="12" t="s">
        <v>60</v>
      </c>
      <c r="D46" s="12"/>
      <c r="E46" s="13">
        <f t="shared" ref="E46:Q46" si="6">E41+E42+E43+E44</f>
        <v>71713</v>
      </c>
      <c r="F46" s="13">
        <f t="shared" si="6"/>
        <v>71175</v>
      </c>
      <c r="G46" s="13">
        <f t="shared" si="6"/>
        <v>70402</v>
      </c>
      <c r="H46" s="13">
        <f t="shared" si="6"/>
        <v>70234</v>
      </c>
      <c r="I46" s="13">
        <f t="shared" si="6"/>
        <v>70809</v>
      </c>
      <c r="J46" s="13">
        <f t="shared" si="6"/>
        <v>71483</v>
      </c>
      <c r="K46" s="13">
        <f t="shared" si="6"/>
        <v>71566</v>
      </c>
      <c r="L46" s="13">
        <f t="shared" si="6"/>
        <v>70994</v>
      </c>
      <c r="M46" s="13">
        <f t="shared" si="6"/>
        <v>70356</v>
      </c>
      <c r="N46" s="13">
        <f t="shared" si="6"/>
        <v>70312</v>
      </c>
      <c r="O46" s="13">
        <f t="shared" si="6"/>
        <v>70930</v>
      </c>
      <c r="P46" s="13">
        <f t="shared" si="6"/>
        <v>71582</v>
      </c>
      <c r="Q46" s="13">
        <f t="shared" si="6"/>
        <v>851556</v>
      </c>
    </row>
    <row r="48" spans="1:20" x14ac:dyDescent="0.25">
      <c r="C48" s="10" t="str">
        <f>IF(S48="",T48,S48&amp;"  -  "&amp;T48)</f>
        <v>6310  -  Maintenance Wages</v>
      </c>
      <c r="E48" s="11">
        <v>8912</v>
      </c>
      <c r="F48" s="11">
        <v>8996</v>
      </c>
      <c r="G48" s="11">
        <v>9102</v>
      </c>
      <c r="H48" s="11">
        <v>9114</v>
      </c>
      <c r="I48" s="11">
        <v>9019</v>
      </c>
      <c r="J48" s="11">
        <v>8921</v>
      </c>
      <c r="K48" s="11">
        <v>8927</v>
      </c>
      <c r="L48" s="11">
        <v>9030</v>
      </c>
      <c r="M48" s="11">
        <v>9118</v>
      </c>
      <c r="N48" s="11">
        <v>9094</v>
      </c>
      <c r="O48" s="11">
        <v>8985</v>
      </c>
      <c r="P48" s="11">
        <v>8910</v>
      </c>
      <c r="Q48" s="11">
        <f>SUM(E48:P48)</f>
        <v>108128</v>
      </c>
      <c r="S48">
        <v>6310</v>
      </c>
      <c r="T48" t="s">
        <v>24</v>
      </c>
    </row>
    <row r="49" spans="1:20" x14ac:dyDescent="0.25">
      <c r="C49" s="10" t="str">
        <f>IF(S49="",T49,S49&amp;"  -  "&amp;T49)</f>
        <v>7610  -  Repairs &amp; Maintenance</v>
      </c>
      <c r="E49" s="11">
        <v>6661</v>
      </c>
      <c r="F49" s="11">
        <v>6442</v>
      </c>
      <c r="G49" s="11">
        <v>6360</v>
      </c>
      <c r="H49" s="11">
        <v>6478</v>
      </c>
      <c r="I49" s="11">
        <v>6707</v>
      </c>
      <c r="J49" s="11">
        <v>6873</v>
      </c>
      <c r="K49" s="11">
        <v>6850</v>
      </c>
      <c r="L49" s="11">
        <v>6657</v>
      </c>
      <c r="M49" s="11">
        <v>6439</v>
      </c>
      <c r="N49" s="11">
        <v>6360</v>
      </c>
      <c r="O49" s="11">
        <v>6482</v>
      </c>
      <c r="P49" s="11">
        <v>6711</v>
      </c>
      <c r="Q49" s="11">
        <f>SUM(E49:P49)</f>
        <v>79020</v>
      </c>
      <c r="S49">
        <v>7610</v>
      </c>
      <c r="T49" t="s">
        <v>42</v>
      </c>
    </row>
    <row r="51" spans="1:20" x14ac:dyDescent="0.25">
      <c r="A51" t="s">
        <v>53</v>
      </c>
      <c r="C51" s="12" t="s">
        <v>61</v>
      </c>
      <c r="D51" s="12"/>
      <c r="E51" s="13">
        <f t="shared" ref="E51:Q51" si="7">E48+E49</f>
        <v>15573</v>
      </c>
      <c r="F51" s="13">
        <f t="shared" si="7"/>
        <v>15438</v>
      </c>
      <c r="G51" s="13">
        <f t="shared" si="7"/>
        <v>15462</v>
      </c>
      <c r="H51" s="13">
        <f t="shared" si="7"/>
        <v>15592</v>
      </c>
      <c r="I51" s="13">
        <f t="shared" si="7"/>
        <v>15726</v>
      </c>
      <c r="J51" s="13">
        <f t="shared" si="7"/>
        <v>15794</v>
      </c>
      <c r="K51" s="13">
        <f t="shared" si="7"/>
        <v>15777</v>
      </c>
      <c r="L51" s="13">
        <f t="shared" si="7"/>
        <v>15687</v>
      </c>
      <c r="M51" s="13">
        <f t="shared" si="7"/>
        <v>15557</v>
      </c>
      <c r="N51" s="13">
        <f t="shared" si="7"/>
        <v>15454</v>
      </c>
      <c r="O51" s="13">
        <f t="shared" si="7"/>
        <v>15467</v>
      </c>
      <c r="P51" s="13">
        <f t="shared" si="7"/>
        <v>15621</v>
      </c>
      <c r="Q51" s="13">
        <f t="shared" si="7"/>
        <v>187148</v>
      </c>
    </row>
    <row r="53" spans="1:20" x14ac:dyDescent="0.25">
      <c r="C53" s="10" t="str">
        <f>IF(S53="",T53,S53&amp;"  -  "&amp;T53)</f>
        <v>7510  -  Electricity</v>
      </c>
      <c r="E53" s="11">
        <v>11592</v>
      </c>
      <c r="F53" s="11">
        <v>12075</v>
      </c>
      <c r="G53" s="11">
        <v>10143</v>
      </c>
      <c r="H53" s="11">
        <v>8694</v>
      </c>
      <c r="I53" s="11">
        <v>8694</v>
      </c>
      <c r="J53" s="11">
        <v>10143</v>
      </c>
      <c r="K53" s="11">
        <v>11109</v>
      </c>
      <c r="L53" s="11">
        <v>10626</v>
      </c>
      <c r="M53" s="11">
        <v>9177</v>
      </c>
      <c r="N53" s="11">
        <v>8211</v>
      </c>
      <c r="O53" s="11">
        <v>8694</v>
      </c>
      <c r="P53" s="11">
        <v>10626</v>
      </c>
      <c r="Q53" s="11">
        <f>SUM(E53:P53)</f>
        <v>119784</v>
      </c>
      <c r="S53">
        <v>7510</v>
      </c>
      <c r="T53" t="s">
        <v>38</v>
      </c>
    </row>
    <row r="54" spans="1:20" x14ac:dyDescent="0.25">
      <c r="C54" s="10" t="str">
        <f>IF(S54="",T54,S54&amp;"  -  "&amp;T54)</f>
        <v>7520  -  Gas</v>
      </c>
      <c r="E54" s="11">
        <v>1573</v>
      </c>
      <c r="F54" s="11">
        <v>1573</v>
      </c>
      <c r="G54" s="11">
        <v>1923</v>
      </c>
      <c r="H54" s="11">
        <v>2972</v>
      </c>
      <c r="I54" s="11">
        <v>4370</v>
      </c>
      <c r="J54" s="11">
        <v>5419</v>
      </c>
      <c r="K54" s="11">
        <v>5594</v>
      </c>
      <c r="L54" s="11">
        <v>5244</v>
      </c>
      <c r="M54" s="11">
        <v>4195</v>
      </c>
      <c r="N54" s="11">
        <v>2972</v>
      </c>
      <c r="O54" s="11">
        <v>2098</v>
      </c>
      <c r="P54" s="11">
        <v>1748</v>
      </c>
      <c r="Q54" s="11">
        <f>SUM(E54:P54)</f>
        <v>39681</v>
      </c>
      <c r="S54">
        <v>7520</v>
      </c>
      <c r="T54" t="s">
        <v>39</v>
      </c>
    </row>
    <row r="55" spans="1:20" x14ac:dyDescent="0.25">
      <c r="C55" s="10" t="str">
        <f>IF(S55="",T55,S55&amp;"  -  "&amp;T55)</f>
        <v>7530  -  Water/Sewer</v>
      </c>
      <c r="E55" s="11">
        <v>4126</v>
      </c>
      <c r="F55" s="11">
        <v>4126</v>
      </c>
      <c r="G55" s="11">
        <v>3767</v>
      </c>
      <c r="H55" s="11">
        <v>3588</v>
      </c>
      <c r="I55" s="11">
        <v>3409</v>
      </c>
      <c r="J55" s="11">
        <v>3409</v>
      </c>
      <c r="K55" s="11">
        <v>3409</v>
      </c>
      <c r="L55" s="11">
        <v>3409</v>
      </c>
      <c r="M55" s="11">
        <v>3588</v>
      </c>
      <c r="N55" s="11">
        <v>3588</v>
      </c>
      <c r="O55" s="11">
        <v>3767</v>
      </c>
      <c r="P55" s="11">
        <v>4126</v>
      </c>
      <c r="Q55" s="11">
        <f>SUM(E55:P55)</f>
        <v>44312</v>
      </c>
      <c r="S55">
        <v>7530</v>
      </c>
      <c r="T55" t="s">
        <v>40</v>
      </c>
    </row>
    <row r="56" spans="1:20" x14ac:dyDescent="0.25">
      <c r="C56" s="10" t="str">
        <f>IF(S56="",T56,S56&amp;"  -  "&amp;T56)</f>
        <v>7540  -  Trash</v>
      </c>
      <c r="E56" s="11">
        <v>1564</v>
      </c>
      <c r="F56" s="11">
        <v>1564</v>
      </c>
      <c r="G56" s="11">
        <v>1564</v>
      </c>
      <c r="H56" s="11">
        <v>1564</v>
      </c>
      <c r="I56" s="11">
        <v>1564</v>
      </c>
      <c r="J56" s="11">
        <v>1564</v>
      </c>
      <c r="K56" s="11">
        <v>1564</v>
      </c>
      <c r="L56" s="11">
        <v>1564</v>
      </c>
      <c r="M56" s="11">
        <v>1564</v>
      </c>
      <c r="N56" s="11">
        <v>1564</v>
      </c>
      <c r="O56" s="11">
        <v>1564</v>
      </c>
      <c r="P56" s="11">
        <v>1564</v>
      </c>
      <c r="Q56" s="11">
        <f>SUM(E56:P56)</f>
        <v>18768</v>
      </c>
      <c r="S56">
        <v>7540</v>
      </c>
      <c r="T56" t="s">
        <v>41</v>
      </c>
    </row>
    <row r="58" spans="1:20" x14ac:dyDescent="0.25">
      <c r="A58" t="s">
        <v>53</v>
      </c>
      <c r="C58" s="12" t="s">
        <v>62</v>
      </c>
      <c r="D58" s="12"/>
      <c r="E58" s="13">
        <f t="shared" ref="E58:Q58" si="8">E53+E54+E55+E56</f>
        <v>18855</v>
      </c>
      <c r="F58" s="13">
        <f t="shared" si="8"/>
        <v>19338</v>
      </c>
      <c r="G58" s="13">
        <f t="shared" si="8"/>
        <v>17397</v>
      </c>
      <c r="H58" s="13">
        <f t="shared" si="8"/>
        <v>16818</v>
      </c>
      <c r="I58" s="13">
        <f t="shared" si="8"/>
        <v>18037</v>
      </c>
      <c r="J58" s="13">
        <f t="shared" si="8"/>
        <v>20535</v>
      </c>
      <c r="K58" s="13">
        <f t="shared" si="8"/>
        <v>21676</v>
      </c>
      <c r="L58" s="13">
        <f t="shared" si="8"/>
        <v>20843</v>
      </c>
      <c r="M58" s="13">
        <f t="shared" si="8"/>
        <v>18524</v>
      </c>
      <c r="N58" s="13">
        <f t="shared" si="8"/>
        <v>16335</v>
      </c>
      <c r="O58" s="13">
        <f t="shared" si="8"/>
        <v>16123</v>
      </c>
      <c r="P58" s="13">
        <f t="shared" si="8"/>
        <v>18064</v>
      </c>
      <c r="Q58" s="13">
        <f t="shared" si="8"/>
        <v>222545</v>
      </c>
    </row>
    <row r="60" spans="1:20" x14ac:dyDescent="0.25">
      <c r="C60" s="10" t="str">
        <f>IF(S60="",T60,S60&amp;"  -  "&amp;T60)</f>
        <v>6210  -  Housekeeping Wages</v>
      </c>
      <c r="E60" s="11">
        <v>12278</v>
      </c>
      <c r="F60" s="11">
        <v>12315</v>
      </c>
      <c r="G60" s="11">
        <v>12466</v>
      </c>
      <c r="H60" s="11">
        <v>12567</v>
      </c>
      <c r="I60" s="11">
        <v>12507</v>
      </c>
      <c r="J60" s="11">
        <v>12352</v>
      </c>
      <c r="K60" s="11">
        <v>12271</v>
      </c>
      <c r="L60" s="11">
        <v>12353</v>
      </c>
      <c r="M60" s="11">
        <v>12508</v>
      </c>
      <c r="N60" s="11">
        <v>12567</v>
      </c>
      <c r="O60" s="11">
        <v>12465</v>
      </c>
      <c r="P60" s="11">
        <v>12314</v>
      </c>
      <c r="Q60" s="11">
        <f>SUM(E60:P60)</f>
        <v>148963</v>
      </c>
      <c r="S60">
        <v>6210</v>
      </c>
      <c r="T60" t="s">
        <v>23</v>
      </c>
    </row>
    <row r="61" spans="1:20" x14ac:dyDescent="0.25">
      <c r="C61" s="10" t="str">
        <f>IF(S61="",T61,S61&amp;"  -  "&amp;T61)</f>
        <v>7110  -  Housekeeping Supplies</v>
      </c>
      <c r="E61" s="11">
        <v>2620</v>
      </c>
      <c r="F61" s="11">
        <v>2568</v>
      </c>
      <c r="G61" s="11">
        <v>2526</v>
      </c>
      <c r="H61" s="11">
        <v>2548</v>
      </c>
      <c r="I61" s="11">
        <v>2606</v>
      </c>
      <c r="J61" s="11">
        <v>2626</v>
      </c>
      <c r="K61" s="11">
        <v>2582</v>
      </c>
      <c r="L61" s="11">
        <v>2531</v>
      </c>
      <c r="M61" s="11">
        <v>2537</v>
      </c>
      <c r="N61" s="11">
        <v>2593</v>
      </c>
      <c r="O61" s="11">
        <v>2627</v>
      </c>
      <c r="P61" s="11">
        <v>2596</v>
      </c>
      <c r="Q61" s="11">
        <f>SUM(E61:P61)</f>
        <v>30960</v>
      </c>
      <c r="S61">
        <v>7110</v>
      </c>
      <c r="T61" t="s">
        <v>35</v>
      </c>
    </row>
    <row r="63" spans="1:20" x14ac:dyDescent="0.25">
      <c r="A63" t="s">
        <v>53</v>
      </c>
      <c r="C63" s="12" t="s">
        <v>63</v>
      </c>
      <c r="D63" s="12"/>
      <c r="E63" s="13">
        <f t="shared" ref="E63:Q63" si="9">E60+E61</f>
        <v>14898</v>
      </c>
      <c r="F63" s="13">
        <f t="shared" si="9"/>
        <v>14883</v>
      </c>
      <c r="G63" s="13">
        <f t="shared" si="9"/>
        <v>14992</v>
      </c>
      <c r="H63" s="13">
        <f t="shared" si="9"/>
        <v>15115</v>
      </c>
      <c r="I63" s="13">
        <f t="shared" si="9"/>
        <v>15113</v>
      </c>
      <c r="J63" s="13">
        <f t="shared" si="9"/>
        <v>14978</v>
      </c>
      <c r="K63" s="13">
        <f t="shared" si="9"/>
        <v>14853</v>
      </c>
      <c r="L63" s="13">
        <f t="shared" si="9"/>
        <v>14884</v>
      </c>
      <c r="M63" s="13">
        <f t="shared" si="9"/>
        <v>15045</v>
      </c>
      <c r="N63" s="13">
        <f t="shared" si="9"/>
        <v>15160</v>
      </c>
      <c r="O63" s="13">
        <f t="shared" si="9"/>
        <v>15092</v>
      </c>
      <c r="P63" s="13">
        <f t="shared" si="9"/>
        <v>14910</v>
      </c>
      <c r="Q63" s="13">
        <f t="shared" si="9"/>
        <v>179923</v>
      </c>
    </row>
    <row r="65" spans="1:20" x14ac:dyDescent="0.25">
      <c r="C65" s="10" t="str">
        <f>IF(S65="",T65,S65&amp;"  -  "&amp;T65)</f>
        <v>6630  -  Sales &amp; Marketing Wages</v>
      </c>
      <c r="E65" s="11">
        <v>7075</v>
      </c>
      <c r="F65" s="11">
        <v>7019</v>
      </c>
      <c r="G65" s="11">
        <v>6933</v>
      </c>
      <c r="H65" s="11">
        <v>6912</v>
      </c>
      <c r="I65" s="11">
        <v>6978</v>
      </c>
      <c r="J65" s="11">
        <v>7059</v>
      </c>
      <c r="K65" s="11">
        <v>7067</v>
      </c>
      <c r="L65" s="11">
        <v>6993</v>
      </c>
      <c r="M65" s="11">
        <v>6918</v>
      </c>
      <c r="N65" s="11">
        <v>6924</v>
      </c>
      <c r="O65" s="11">
        <v>7005</v>
      </c>
      <c r="P65" s="11">
        <v>7072</v>
      </c>
      <c r="Q65" s="11">
        <f>SUM(E65:P65)</f>
        <v>83955</v>
      </c>
      <c r="S65">
        <v>6630</v>
      </c>
      <c r="T65" t="s">
        <v>29</v>
      </c>
    </row>
    <row r="66" spans="1:20" x14ac:dyDescent="0.25">
      <c r="C66" s="10" t="str">
        <f>IF(S66="",T66,S66&amp;"  -  "&amp;T66)</f>
        <v>7410  -  Marketing &amp; Advertising</v>
      </c>
      <c r="E66" s="11">
        <v>5535</v>
      </c>
      <c r="F66" s="11">
        <v>5400</v>
      </c>
      <c r="G66" s="11">
        <v>5242</v>
      </c>
      <c r="H66" s="11">
        <v>5118</v>
      </c>
      <c r="I66" s="11">
        <v>5069</v>
      </c>
      <c r="J66" s="11">
        <v>5114</v>
      </c>
      <c r="K66" s="11">
        <v>5236</v>
      </c>
      <c r="L66" s="11">
        <v>5393</v>
      </c>
      <c r="M66" s="11">
        <v>5530</v>
      </c>
      <c r="N66" s="11">
        <v>5600</v>
      </c>
      <c r="O66" s="11">
        <v>5577</v>
      </c>
      <c r="P66" s="11">
        <v>5470</v>
      </c>
      <c r="Q66" s="11">
        <f>SUM(E66:P66)</f>
        <v>64284</v>
      </c>
      <c r="S66">
        <v>7410</v>
      </c>
      <c r="T66" t="s">
        <v>37</v>
      </c>
    </row>
    <row r="68" spans="1:20" x14ac:dyDescent="0.25">
      <c r="A68" t="s">
        <v>53</v>
      </c>
      <c r="C68" s="12" t="s">
        <v>64</v>
      </c>
      <c r="D68" s="12"/>
      <c r="E68" s="13">
        <f t="shared" ref="E68:Q68" si="10">E65+E66</f>
        <v>12610</v>
      </c>
      <c r="F68" s="13">
        <f t="shared" si="10"/>
        <v>12419</v>
      </c>
      <c r="G68" s="13">
        <f t="shared" si="10"/>
        <v>12175</v>
      </c>
      <c r="H68" s="13">
        <f t="shared" si="10"/>
        <v>12030</v>
      </c>
      <c r="I68" s="13">
        <f t="shared" si="10"/>
        <v>12047</v>
      </c>
      <c r="J68" s="13">
        <f t="shared" si="10"/>
        <v>12173</v>
      </c>
      <c r="K68" s="13">
        <f t="shared" si="10"/>
        <v>12303</v>
      </c>
      <c r="L68" s="13">
        <f t="shared" si="10"/>
        <v>12386</v>
      </c>
      <c r="M68" s="13">
        <f t="shared" si="10"/>
        <v>12448</v>
      </c>
      <c r="N68" s="13">
        <f t="shared" si="10"/>
        <v>12524</v>
      </c>
      <c r="O68" s="13">
        <f t="shared" si="10"/>
        <v>12582</v>
      </c>
      <c r="P68" s="13">
        <f t="shared" si="10"/>
        <v>12542</v>
      </c>
      <c r="Q68" s="13">
        <f t="shared" si="10"/>
        <v>148239</v>
      </c>
    </row>
    <row r="70" spans="1:20" x14ac:dyDescent="0.25">
      <c r="C70" s="10" t="str">
        <f>IF(S70="",T70,S70&amp;"  -  "&amp;T70)</f>
        <v>6510  -  Concierge Wages</v>
      </c>
      <c r="E70" s="11">
        <v>7536</v>
      </c>
      <c r="F70" s="11">
        <v>7621</v>
      </c>
      <c r="G70" s="11">
        <v>7621</v>
      </c>
      <c r="H70" s="11">
        <v>7537</v>
      </c>
      <c r="I70" s="11">
        <v>7460</v>
      </c>
      <c r="J70" s="11">
        <v>7475</v>
      </c>
      <c r="K70" s="11">
        <v>7565</v>
      </c>
      <c r="L70" s="11">
        <v>7632</v>
      </c>
      <c r="M70" s="11">
        <v>7603</v>
      </c>
      <c r="N70" s="11">
        <v>7509</v>
      </c>
      <c r="O70" s="11">
        <v>7454</v>
      </c>
      <c r="P70" s="11">
        <v>7497</v>
      </c>
      <c r="Q70" s="11">
        <f>SUM(E70:P70)</f>
        <v>90510</v>
      </c>
      <c r="S70">
        <v>6510</v>
      </c>
      <c r="T70" t="s">
        <v>26</v>
      </c>
    </row>
    <row r="71" spans="1:20" x14ac:dyDescent="0.25">
      <c r="C71" s="10" t="str">
        <f>IF(S71="",T71,S71&amp;"  -  "&amp;T71)</f>
        <v>6610  -  Business Office Manager</v>
      </c>
      <c r="E71" s="11">
        <v>5183</v>
      </c>
      <c r="F71" s="11">
        <v>5214</v>
      </c>
      <c r="G71" s="11">
        <v>5177</v>
      </c>
      <c r="H71" s="11">
        <v>5113</v>
      </c>
      <c r="I71" s="11">
        <v>5091</v>
      </c>
      <c r="J71" s="11">
        <v>5136</v>
      </c>
      <c r="K71" s="11">
        <v>5198</v>
      </c>
      <c r="L71" s="11">
        <v>5210</v>
      </c>
      <c r="M71" s="11">
        <v>5159</v>
      </c>
      <c r="N71" s="11">
        <v>5100</v>
      </c>
      <c r="O71" s="11">
        <v>5098</v>
      </c>
      <c r="P71" s="11">
        <v>5155</v>
      </c>
      <c r="Q71" s="11">
        <f>SUM(E71:P71)</f>
        <v>61834</v>
      </c>
      <c r="S71">
        <v>6610</v>
      </c>
      <c r="T71" t="s">
        <v>27</v>
      </c>
    </row>
    <row r="72" spans="1:20" x14ac:dyDescent="0.25">
      <c r="C72" s="10" t="str">
        <f>IF(S72="",T72,S72&amp;"  -  "&amp;T72)</f>
        <v>6620  -  Executive Director</v>
      </c>
      <c r="E72" s="11">
        <v>8555</v>
      </c>
      <c r="F72" s="11">
        <v>8545</v>
      </c>
      <c r="G72" s="11">
        <v>8446</v>
      </c>
      <c r="H72" s="11">
        <v>8367</v>
      </c>
      <c r="I72" s="11">
        <v>8394</v>
      </c>
      <c r="J72" s="11">
        <v>8497</v>
      </c>
      <c r="K72" s="11">
        <v>8565</v>
      </c>
      <c r="L72" s="11">
        <v>8522</v>
      </c>
      <c r="M72" s="11">
        <v>8416</v>
      </c>
      <c r="N72" s="11">
        <v>8362</v>
      </c>
      <c r="O72" s="11">
        <v>8420</v>
      </c>
      <c r="P72" s="11">
        <v>8526</v>
      </c>
      <c r="Q72" s="11">
        <f>SUM(E72:P72)</f>
        <v>101615</v>
      </c>
      <c r="S72">
        <v>6620</v>
      </c>
      <c r="T72" t="s">
        <v>28</v>
      </c>
    </row>
    <row r="73" spans="1:20" x14ac:dyDescent="0.25">
      <c r="C73" s="10" t="str">
        <f>IF(S73="",T73,S73&amp;"  -  "&amp;T73)</f>
        <v>7710  -  IT &amp; Telephone</v>
      </c>
      <c r="E73" s="11">
        <v>2760</v>
      </c>
      <c r="F73" s="11">
        <v>2760</v>
      </c>
      <c r="G73" s="11">
        <v>2760</v>
      </c>
      <c r="H73" s="11">
        <v>2760</v>
      </c>
      <c r="I73" s="11">
        <v>2760</v>
      </c>
      <c r="J73" s="11">
        <v>2760</v>
      </c>
      <c r="K73" s="11">
        <v>2760</v>
      </c>
      <c r="L73" s="11">
        <v>2760</v>
      </c>
      <c r="M73" s="11">
        <v>2760</v>
      </c>
      <c r="N73" s="11">
        <v>2760</v>
      </c>
      <c r="O73" s="11">
        <v>2760</v>
      </c>
      <c r="P73" s="11">
        <v>2760</v>
      </c>
      <c r="Q73" s="11">
        <f>SUM(E73:P73)</f>
        <v>33120</v>
      </c>
      <c r="S73">
        <v>7710</v>
      </c>
      <c r="T73" t="s">
        <v>43</v>
      </c>
    </row>
    <row r="74" spans="1:20" x14ac:dyDescent="0.25">
      <c r="C74" s="10" t="str">
        <f>IF(S74="",T74,S74&amp;"  -  "&amp;T74)</f>
        <v>7990  -  Other G&amp;A</v>
      </c>
      <c r="E74" s="11">
        <v>4128</v>
      </c>
      <c r="F74" s="11">
        <v>4162</v>
      </c>
      <c r="G74" s="11">
        <v>4340</v>
      </c>
      <c r="H74" s="11">
        <v>4296</v>
      </c>
      <c r="I74" s="11">
        <v>4120</v>
      </c>
      <c r="J74" s="11">
        <v>4175</v>
      </c>
      <c r="K74" s="11">
        <v>4347</v>
      </c>
      <c r="L74" s="11">
        <v>4282</v>
      </c>
      <c r="M74" s="11">
        <v>4114</v>
      </c>
      <c r="N74" s="11">
        <v>4189</v>
      </c>
      <c r="O74" s="11">
        <v>4353</v>
      </c>
      <c r="P74" s="11">
        <v>4268</v>
      </c>
      <c r="Q74" s="11">
        <f>SUM(E74:P74)</f>
        <v>50774</v>
      </c>
      <c r="S74">
        <v>7990</v>
      </c>
      <c r="T74" t="s">
        <v>47</v>
      </c>
    </row>
    <row r="76" spans="1:20" x14ac:dyDescent="0.25">
      <c r="A76" t="s">
        <v>53</v>
      </c>
      <c r="C76" s="12" t="s">
        <v>65</v>
      </c>
      <c r="D76" s="12"/>
      <c r="E76" s="13">
        <f t="shared" ref="E76:Q76" si="11">E70+E71+E72+E73+E74</f>
        <v>28162</v>
      </c>
      <c r="F76" s="13">
        <f t="shared" si="11"/>
        <v>28302</v>
      </c>
      <c r="G76" s="13">
        <f t="shared" si="11"/>
        <v>28344</v>
      </c>
      <c r="H76" s="13">
        <f t="shared" si="11"/>
        <v>28073</v>
      </c>
      <c r="I76" s="13">
        <f t="shared" si="11"/>
        <v>27825</v>
      </c>
      <c r="J76" s="13">
        <f t="shared" si="11"/>
        <v>28043</v>
      </c>
      <c r="K76" s="13">
        <f t="shared" si="11"/>
        <v>28435</v>
      </c>
      <c r="L76" s="13">
        <f t="shared" si="11"/>
        <v>28406</v>
      </c>
      <c r="M76" s="13">
        <f t="shared" si="11"/>
        <v>28052</v>
      </c>
      <c r="N76" s="13">
        <f t="shared" si="11"/>
        <v>27920</v>
      </c>
      <c r="O76" s="13">
        <f t="shared" si="11"/>
        <v>28085</v>
      </c>
      <c r="P76" s="13">
        <f t="shared" si="11"/>
        <v>28206</v>
      </c>
      <c r="Q76" s="13">
        <f t="shared" si="11"/>
        <v>337853</v>
      </c>
    </row>
    <row r="78" spans="1:20" x14ac:dyDescent="0.25">
      <c r="C78" s="10" t="str">
        <f>IF(S78="",T78,S78&amp;"  -  "&amp;T78)</f>
        <v>6710  -  Payroll Taxes</v>
      </c>
      <c r="E78" s="11">
        <v>14601</v>
      </c>
      <c r="F78" s="11">
        <v>14555</v>
      </c>
      <c r="G78" s="11">
        <v>14496</v>
      </c>
      <c r="H78" s="11">
        <v>14489</v>
      </c>
      <c r="I78" s="11">
        <v>14541</v>
      </c>
      <c r="J78" s="11">
        <v>14596</v>
      </c>
      <c r="K78" s="11">
        <v>14593</v>
      </c>
      <c r="L78" s="11">
        <v>14536</v>
      </c>
      <c r="M78" s="11">
        <v>14487</v>
      </c>
      <c r="N78" s="11">
        <v>14500</v>
      </c>
      <c r="O78" s="11">
        <v>14560</v>
      </c>
      <c r="P78" s="11">
        <v>14602</v>
      </c>
      <c r="Q78" s="11">
        <f>SUM(E78:P78)</f>
        <v>174556</v>
      </c>
      <c r="S78">
        <v>6710</v>
      </c>
      <c r="T78" t="s">
        <v>30</v>
      </c>
    </row>
    <row r="79" spans="1:20" x14ac:dyDescent="0.25">
      <c r="C79" s="10" t="str">
        <f>IF(S79="",T79,S79&amp;"  -  "&amp;T79)</f>
        <v>6720  -  Employee Benefits</v>
      </c>
      <c r="E79" s="11">
        <v>11296</v>
      </c>
      <c r="F79" s="11">
        <v>11335</v>
      </c>
      <c r="G79" s="11">
        <v>11321</v>
      </c>
      <c r="H79" s="11">
        <v>11262</v>
      </c>
      <c r="I79" s="11">
        <v>11185</v>
      </c>
      <c r="J79" s="11">
        <v>11126</v>
      </c>
      <c r="K79" s="11">
        <v>11114</v>
      </c>
      <c r="L79" s="11">
        <v>11153</v>
      </c>
      <c r="M79" s="11">
        <v>11226</v>
      </c>
      <c r="N79" s="11">
        <v>11298</v>
      </c>
      <c r="O79" s="11">
        <v>11335</v>
      </c>
      <c r="P79" s="11">
        <v>11320</v>
      </c>
      <c r="Q79" s="11">
        <f>SUM(E79:P79)</f>
        <v>134971</v>
      </c>
      <c r="S79">
        <v>6720</v>
      </c>
      <c r="T79" t="s">
        <v>31</v>
      </c>
    </row>
    <row r="80" spans="1:20" x14ac:dyDescent="0.25">
      <c r="C80" s="10" t="str">
        <f>IF(S80="",T80,S80&amp;"  -  "&amp;T80)</f>
        <v>6730  -  Workers Comp</v>
      </c>
      <c r="E80" s="11">
        <v>3051</v>
      </c>
      <c r="F80" s="11">
        <v>3062</v>
      </c>
      <c r="G80" s="11">
        <v>3066</v>
      </c>
      <c r="H80" s="11">
        <v>3064</v>
      </c>
      <c r="I80" s="11">
        <v>3054</v>
      </c>
      <c r="J80" s="11">
        <v>3040</v>
      </c>
      <c r="K80" s="11">
        <v>3025</v>
      </c>
      <c r="L80" s="11">
        <v>3013</v>
      </c>
      <c r="M80" s="11">
        <v>3006</v>
      </c>
      <c r="N80" s="11">
        <v>3007</v>
      </c>
      <c r="O80" s="11">
        <v>3015</v>
      </c>
      <c r="P80" s="11">
        <v>3028</v>
      </c>
      <c r="Q80" s="11">
        <f>SUM(E80:P80)</f>
        <v>36431</v>
      </c>
      <c r="S80">
        <v>6730</v>
      </c>
      <c r="T80" t="s">
        <v>32</v>
      </c>
    </row>
    <row r="82" spans="1:20" x14ac:dyDescent="0.25">
      <c r="A82" t="s">
        <v>53</v>
      </c>
      <c r="C82" s="12" t="s">
        <v>66</v>
      </c>
      <c r="D82" s="12"/>
      <c r="E82" s="13">
        <f t="shared" ref="E82:Q82" si="12">E78+E79+E80</f>
        <v>28948</v>
      </c>
      <c r="F82" s="13">
        <f t="shared" si="12"/>
        <v>28952</v>
      </c>
      <c r="G82" s="13">
        <f t="shared" si="12"/>
        <v>28883</v>
      </c>
      <c r="H82" s="13">
        <f t="shared" si="12"/>
        <v>28815</v>
      </c>
      <c r="I82" s="13">
        <f t="shared" si="12"/>
        <v>28780</v>
      </c>
      <c r="J82" s="13">
        <f t="shared" si="12"/>
        <v>28762</v>
      </c>
      <c r="K82" s="13">
        <f t="shared" si="12"/>
        <v>28732</v>
      </c>
      <c r="L82" s="13">
        <f t="shared" si="12"/>
        <v>28702</v>
      </c>
      <c r="M82" s="13">
        <f t="shared" si="12"/>
        <v>28719</v>
      </c>
      <c r="N82" s="13">
        <f t="shared" si="12"/>
        <v>28805</v>
      </c>
      <c r="O82" s="13">
        <f t="shared" si="12"/>
        <v>28910</v>
      </c>
      <c r="P82" s="13">
        <f t="shared" si="12"/>
        <v>28950</v>
      </c>
      <c r="Q82" s="13">
        <f t="shared" si="12"/>
        <v>345958</v>
      </c>
    </row>
    <row r="84" spans="1:20" x14ac:dyDescent="0.25">
      <c r="C84" s="10" t="str">
        <f>IF(S84="",T84,S84&amp;"  -  "&amp;T84)</f>
        <v>7810  -  Insurance</v>
      </c>
      <c r="E84" s="11">
        <v>10120</v>
      </c>
      <c r="F84" s="11">
        <v>10120</v>
      </c>
      <c r="G84" s="11">
        <v>10120</v>
      </c>
      <c r="H84" s="11">
        <v>10120</v>
      </c>
      <c r="I84" s="11">
        <v>10120</v>
      </c>
      <c r="J84" s="11">
        <v>10120</v>
      </c>
      <c r="K84" s="11">
        <v>10120</v>
      </c>
      <c r="L84" s="11">
        <v>10120</v>
      </c>
      <c r="M84" s="11">
        <v>10120</v>
      </c>
      <c r="N84" s="11">
        <v>10120</v>
      </c>
      <c r="O84" s="11">
        <v>10120</v>
      </c>
      <c r="P84" s="11">
        <v>10120</v>
      </c>
      <c r="Q84" s="11">
        <f>SUM(E84:P84)</f>
        <v>121440</v>
      </c>
      <c r="S84">
        <v>7810</v>
      </c>
      <c r="T84" t="s">
        <v>44</v>
      </c>
    </row>
    <row r="85" spans="1:20" x14ac:dyDescent="0.25">
      <c r="C85" s="10" t="str">
        <f>IF(S85="",T85,S85&amp;"  -  "&amp;T85)</f>
        <v>7820  -  Real Estate Taxes</v>
      </c>
      <c r="E85" s="11">
        <v>12880</v>
      </c>
      <c r="F85" s="11">
        <v>12880</v>
      </c>
      <c r="G85" s="11">
        <v>12880</v>
      </c>
      <c r="H85" s="11">
        <v>12880</v>
      </c>
      <c r="I85" s="11">
        <v>12880</v>
      </c>
      <c r="J85" s="11">
        <v>12880</v>
      </c>
      <c r="K85" s="11">
        <v>12880</v>
      </c>
      <c r="L85" s="11">
        <v>12880</v>
      </c>
      <c r="M85" s="11">
        <v>12880</v>
      </c>
      <c r="N85" s="11">
        <v>12880</v>
      </c>
      <c r="O85" s="11">
        <v>12880</v>
      </c>
      <c r="P85" s="11">
        <v>12880</v>
      </c>
      <c r="Q85" s="11">
        <f>SUM(E85:P85)</f>
        <v>154560</v>
      </c>
      <c r="S85">
        <v>7820</v>
      </c>
      <c r="T85" t="s">
        <v>45</v>
      </c>
    </row>
    <row r="86" spans="1:20" x14ac:dyDescent="0.25">
      <c r="C86" s="10" t="str">
        <f>IF(S86="",T86,S86&amp;"  -  "&amp;T86)</f>
        <v>7910  -  Management Fee</v>
      </c>
      <c r="E86" s="11">
        <v>19812</v>
      </c>
      <c r="F86" s="11">
        <v>20748</v>
      </c>
      <c r="G86" s="11">
        <v>20592</v>
      </c>
      <c r="H86" s="11">
        <v>20105</v>
      </c>
      <c r="I86" s="11">
        <v>21565</v>
      </c>
      <c r="J86" s="11">
        <v>21015</v>
      </c>
      <c r="K86" s="11">
        <v>21108</v>
      </c>
      <c r="L86" s="11">
        <v>21141</v>
      </c>
      <c r="M86" s="11">
        <v>21426</v>
      </c>
      <c r="N86" s="11">
        <v>21015</v>
      </c>
      <c r="O86" s="11">
        <v>21882</v>
      </c>
      <c r="P86" s="11">
        <v>21667</v>
      </c>
      <c r="Q86" s="11">
        <f>SUM(E86:P86)</f>
        <v>252076</v>
      </c>
      <c r="S86">
        <v>7910</v>
      </c>
      <c r="T86" t="s">
        <v>46</v>
      </c>
    </row>
    <row r="88" spans="1:20" x14ac:dyDescent="0.25">
      <c r="A88" t="s">
        <v>53</v>
      </c>
      <c r="C88" s="12" t="s">
        <v>67</v>
      </c>
      <c r="D88" s="12"/>
      <c r="E88" s="13">
        <f t="shared" ref="E88:Q88" si="13">E84+E85+E86</f>
        <v>42812</v>
      </c>
      <c r="F88" s="13">
        <f t="shared" si="13"/>
        <v>43748</v>
      </c>
      <c r="G88" s="13">
        <f t="shared" si="13"/>
        <v>43592</v>
      </c>
      <c r="H88" s="13">
        <f t="shared" si="13"/>
        <v>43105</v>
      </c>
      <c r="I88" s="13">
        <f t="shared" si="13"/>
        <v>44565</v>
      </c>
      <c r="J88" s="13">
        <f t="shared" si="13"/>
        <v>44015</v>
      </c>
      <c r="K88" s="13">
        <f t="shared" si="13"/>
        <v>44108</v>
      </c>
      <c r="L88" s="13">
        <f t="shared" si="13"/>
        <v>44141</v>
      </c>
      <c r="M88" s="13">
        <f t="shared" si="13"/>
        <v>44426</v>
      </c>
      <c r="N88" s="13">
        <f t="shared" si="13"/>
        <v>44015</v>
      </c>
      <c r="O88" s="13">
        <f t="shared" si="13"/>
        <v>44882</v>
      </c>
      <c r="P88" s="13">
        <f t="shared" si="13"/>
        <v>44667</v>
      </c>
      <c r="Q88" s="13">
        <f t="shared" si="13"/>
        <v>528076</v>
      </c>
    </row>
    <row r="90" spans="1:20" x14ac:dyDescent="0.25">
      <c r="A90" t="s">
        <v>53</v>
      </c>
      <c r="C90" s="12" t="s">
        <v>48</v>
      </c>
      <c r="D90" s="12"/>
      <c r="E90" s="13">
        <f t="shared" ref="E90:Q90" si="14">E35+E39+E46+E51+E58+E63+E68+E76+E82+E88</f>
        <v>285823</v>
      </c>
      <c r="F90" s="13">
        <f t="shared" si="14"/>
        <v>286326</v>
      </c>
      <c r="G90" s="13">
        <f t="shared" si="14"/>
        <v>283277</v>
      </c>
      <c r="H90" s="13">
        <f t="shared" si="14"/>
        <v>281884</v>
      </c>
      <c r="I90" s="13">
        <f t="shared" si="14"/>
        <v>285001</v>
      </c>
      <c r="J90" s="13">
        <f t="shared" si="14"/>
        <v>287726</v>
      </c>
      <c r="K90" s="13">
        <f t="shared" si="14"/>
        <v>289249</v>
      </c>
      <c r="L90" s="13">
        <f t="shared" si="14"/>
        <v>287940</v>
      </c>
      <c r="M90" s="13">
        <f t="shared" si="14"/>
        <v>285361</v>
      </c>
      <c r="N90" s="13">
        <f t="shared" si="14"/>
        <v>283040</v>
      </c>
      <c r="O90" s="13">
        <f t="shared" si="14"/>
        <v>284503</v>
      </c>
      <c r="P90" s="13">
        <f t="shared" si="14"/>
        <v>286547</v>
      </c>
      <c r="Q90" s="13">
        <f t="shared" si="14"/>
        <v>3426677</v>
      </c>
    </row>
    <row r="92" spans="1:20" x14ac:dyDescent="0.25">
      <c r="A92" t="s">
        <v>53</v>
      </c>
      <c r="C92" s="12" t="s">
        <v>49</v>
      </c>
      <c r="D92" s="12"/>
      <c r="E92" s="13">
        <f t="shared" ref="E92:Q92" si="15">E26-E90</f>
        <v>110425</v>
      </c>
      <c r="F92" s="13">
        <f t="shared" si="15"/>
        <v>128635</v>
      </c>
      <c r="G92" s="13">
        <f t="shared" si="15"/>
        <v>128564</v>
      </c>
      <c r="H92" s="13">
        <f t="shared" si="15"/>
        <v>120208</v>
      </c>
      <c r="I92" s="13">
        <f t="shared" si="15"/>
        <v>146294</v>
      </c>
      <c r="J92" s="13">
        <f t="shared" si="15"/>
        <v>132565</v>
      </c>
      <c r="K92" s="13">
        <f t="shared" si="15"/>
        <v>132911</v>
      </c>
      <c r="L92" s="13">
        <f t="shared" si="15"/>
        <v>134889</v>
      </c>
      <c r="M92" s="13">
        <f t="shared" si="15"/>
        <v>143159</v>
      </c>
      <c r="N92" s="13">
        <f t="shared" si="15"/>
        <v>137262</v>
      </c>
      <c r="O92" s="13">
        <f t="shared" si="15"/>
        <v>153133</v>
      </c>
      <c r="P92" s="13">
        <f t="shared" si="15"/>
        <v>146787</v>
      </c>
      <c r="Q92" s="13">
        <f t="shared" si="15"/>
        <v>1614832</v>
      </c>
    </row>
    <row r="93" spans="1:20" x14ac:dyDescent="0.25">
      <c r="C93" t="s">
        <v>68</v>
      </c>
      <c r="E93" s="14">
        <f t="shared" ref="E93:P93" si="16">IFERROR(E92/E26,0)</f>
        <v>0.27867648543336498</v>
      </c>
      <c r="F93" s="14">
        <f t="shared" si="16"/>
        <v>0.30999298729278174</v>
      </c>
      <c r="G93" s="14">
        <f t="shared" si="16"/>
        <v>0.31216901668362307</v>
      </c>
      <c r="H93" s="14">
        <f t="shared" si="16"/>
        <v>0.29895645772609253</v>
      </c>
      <c r="I93" s="14">
        <f t="shared" si="16"/>
        <v>0.33919706929132032</v>
      </c>
      <c r="J93" s="14">
        <f t="shared" si="16"/>
        <v>0.31541241663514091</v>
      </c>
      <c r="K93" s="14">
        <f t="shared" si="16"/>
        <v>0.31483560735266247</v>
      </c>
      <c r="L93" s="14">
        <f t="shared" si="16"/>
        <v>0.31901548853082451</v>
      </c>
      <c r="M93" s="14">
        <f t="shared" si="16"/>
        <v>0.33407775599738637</v>
      </c>
      <c r="N93" s="14">
        <f t="shared" si="16"/>
        <v>0.32657945953147977</v>
      </c>
      <c r="O93" s="14">
        <f t="shared" si="16"/>
        <v>0.34990951384255409</v>
      </c>
      <c r="P93" s="14">
        <f t="shared" si="16"/>
        <v>0.33873870963275443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C5BB-E07B-40A4-9578-1786D40B2349}">
  <dimension ref="A1:O51"/>
  <sheetViews>
    <sheetView showGridLines="0" workbookViewId="0"/>
  </sheetViews>
  <sheetFormatPr defaultRowHeight="15" x14ac:dyDescent="0.25"/>
  <cols>
    <col min="2" max="2" width="30.7109375" customWidth="1"/>
  </cols>
  <sheetData>
    <row r="1" spans="1:15" x14ac:dyDescent="0.25">
      <c r="A1" s="2" t="s">
        <v>0</v>
      </c>
    </row>
    <row r="2" spans="1:15" x14ac:dyDescent="0.25">
      <c r="A2" t="s">
        <v>1</v>
      </c>
    </row>
    <row r="3" spans="1:15" x14ac:dyDescent="0.25">
      <c r="A3" s="3" t="s">
        <v>2</v>
      </c>
    </row>
    <row r="5" spans="1:15" s="2" customFormat="1" x14ac:dyDescent="0.25">
      <c r="A5" s="2" t="s">
        <v>3</v>
      </c>
      <c r="B5" s="2" t="s">
        <v>4</v>
      </c>
      <c r="C5" s="4">
        <v>45869</v>
      </c>
      <c r="D5" s="4">
        <v>45900</v>
      </c>
      <c r="E5" s="4">
        <v>45930</v>
      </c>
      <c r="F5" s="4">
        <v>45961</v>
      </c>
      <c r="G5" s="4">
        <v>45991</v>
      </c>
      <c r="H5" s="4">
        <v>46022</v>
      </c>
      <c r="I5" s="4">
        <v>46053</v>
      </c>
      <c r="J5" s="4">
        <v>46081</v>
      </c>
      <c r="K5" s="4">
        <v>46112</v>
      </c>
      <c r="L5" s="4">
        <v>46142</v>
      </c>
      <c r="M5" s="4">
        <v>46173</v>
      </c>
      <c r="N5" s="4">
        <v>46203</v>
      </c>
      <c r="O5" s="2" t="s">
        <v>5</v>
      </c>
    </row>
    <row r="6" spans="1:15" x14ac:dyDescent="0.25">
      <c r="B6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>
        <v>4010</v>
      </c>
      <c r="B7" t="s">
        <v>7</v>
      </c>
      <c r="C7" s="1">
        <v>130152</v>
      </c>
      <c r="D7" s="1">
        <v>130398</v>
      </c>
      <c r="E7" s="1">
        <v>133507</v>
      </c>
      <c r="F7" s="1">
        <v>132350</v>
      </c>
      <c r="G7" s="1">
        <v>135400</v>
      </c>
      <c r="H7" s="1">
        <v>135680</v>
      </c>
      <c r="I7" s="1">
        <v>136760</v>
      </c>
      <c r="J7" s="1">
        <v>133994</v>
      </c>
      <c r="K7" s="1">
        <v>138063</v>
      </c>
      <c r="L7" s="1">
        <v>137300</v>
      </c>
      <c r="M7" s="1">
        <v>139892</v>
      </c>
      <c r="N7" s="1">
        <v>140535</v>
      </c>
      <c r="O7" s="1">
        <v>1624031</v>
      </c>
    </row>
    <row r="8" spans="1:15" x14ac:dyDescent="0.25">
      <c r="A8">
        <v>4020</v>
      </c>
      <c r="B8" t="s">
        <v>8</v>
      </c>
      <c r="C8" s="1">
        <v>120910</v>
      </c>
      <c r="D8" s="1">
        <v>125160</v>
      </c>
      <c r="E8" s="1">
        <v>124124</v>
      </c>
      <c r="F8" s="1">
        <v>118673</v>
      </c>
      <c r="G8" s="1">
        <v>123170</v>
      </c>
      <c r="H8" s="1">
        <v>128565</v>
      </c>
      <c r="I8" s="1">
        <v>129671</v>
      </c>
      <c r="J8" s="1">
        <v>125562</v>
      </c>
      <c r="K8" s="1">
        <v>125145</v>
      </c>
      <c r="L8" s="1">
        <v>128700</v>
      </c>
      <c r="M8" s="1">
        <v>127791</v>
      </c>
      <c r="N8" s="1">
        <v>128925</v>
      </c>
      <c r="O8" s="1">
        <v>1506396</v>
      </c>
    </row>
    <row r="9" spans="1:15" x14ac:dyDescent="0.25">
      <c r="A9">
        <v>4030</v>
      </c>
      <c r="B9" t="s">
        <v>9</v>
      </c>
      <c r="C9" s="1">
        <v>86707</v>
      </c>
      <c r="D9" s="1">
        <v>93912</v>
      </c>
      <c r="E9" s="1">
        <v>93135</v>
      </c>
      <c r="F9" s="1">
        <v>92846</v>
      </c>
      <c r="G9" s="1">
        <v>101036</v>
      </c>
      <c r="H9" s="1">
        <v>94072</v>
      </c>
      <c r="I9" s="1">
        <v>94660</v>
      </c>
      <c r="J9" s="1">
        <v>102463</v>
      </c>
      <c r="K9" s="1">
        <v>101721</v>
      </c>
      <c r="L9" s="1">
        <v>93124</v>
      </c>
      <c r="M9" s="1">
        <v>100585</v>
      </c>
      <c r="N9" s="1">
        <v>101595</v>
      </c>
      <c r="O9" s="1">
        <v>1155856</v>
      </c>
    </row>
    <row r="10" spans="1:15" x14ac:dyDescent="0.25">
      <c r="A10">
        <v>4110</v>
      </c>
      <c r="B10" t="s">
        <v>10</v>
      </c>
      <c r="C10" s="1">
        <v>25794</v>
      </c>
      <c r="D10" s="1">
        <v>26554</v>
      </c>
      <c r="E10" s="1">
        <v>26411</v>
      </c>
      <c r="F10" s="1">
        <v>25486</v>
      </c>
      <c r="G10" s="1">
        <v>26677</v>
      </c>
      <c r="H10" s="1">
        <v>27880</v>
      </c>
      <c r="I10" s="1">
        <v>27928</v>
      </c>
      <c r="J10" s="1">
        <v>26782</v>
      </c>
      <c r="K10" s="1">
        <v>26550</v>
      </c>
      <c r="L10" s="1">
        <v>27389</v>
      </c>
      <c r="M10" s="1">
        <v>27449</v>
      </c>
      <c r="N10" s="1">
        <v>27660</v>
      </c>
      <c r="O10" s="1">
        <v>322560</v>
      </c>
    </row>
    <row r="11" spans="1:15" x14ac:dyDescent="0.25">
      <c r="A11">
        <v>4120</v>
      </c>
      <c r="B11" t="s">
        <v>11</v>
      </c>
      <c r="C11" s="1">
        <v>15207</v>
      </c>
      <c r="D11" s="1">
        <v>16471</v>
      </c>
      <c r="E11" s="1">
        <v>16462</v>
      </c>
      <c r="F11" s="1">
        <v>16569</v>
      </c>
      <c r="G11" s="1">
        <v>18104</v>
      </c>
      <c r="H11" s="1">
        <v>16781</v>
      </c>
      <c r="I11" s="1">
        <v>16726</v>
      </c>
      <c r="J11" s="1">
        <v>17969</v>
      </c>
      <c r="K11" s="1">
        <v>17842</v>
      </c>
      <c r="L11" s="1">
        <v>16463</v>
      </c>
      <c r="M11" s="1">
        <v>17953</v>
      </c>
      <c r="N11" s="1">
        <v>18000</v>
      </c>
      <c r="O11" s="1">
        <v>204547</v>
      </c>
    </row>
    <row r="12" spans="1:15" x14ac:dyDescent="0.25">
      <c r="A12">
        <v>4210</v>
      </c>
      <c r="B12" t="s">
        <v>12</v>
      </c>
      <c r="C12" s="1">
        <v>7297</v>
      </c>
      <c r="D12" s="1">
        <v>7396</v>
      </c>
      <c r="E12" s="1">
        <v>7551</v>
      </c>
      <c r="F12" s="1">
        <v>7493</v>
      </c>
      <c r="G12" s="1">
        <v>7787</v>
      </c>
      <c r="H12" s="1">
        <v>7905</v>
      </c>
      <c r="I12" s="1">
        <v>7847</v>
      </c>
      <c r="J12" s="1">
        <v>7539</v>
      </c>
      <c r="K12" s="1">
        <v>7638</v>
      </c>
      <c r="L12" s="1">
        <v>7795</v>
      </c>
      <c r="M12" s="1">
        <v>7986</v>
      </c>
      <c r="N12" s="1">
        <v>7960</v>
      </c>
      <c r="O12" s="1">
        <v>92194</v>
      </c>
    </row>
    <row r="13" spans="1:15" x14ac:dyDescent="0.25">
      <c r="A13">
        <v>4310</v>
      </c>
      <c r="B13" t="s">
        <v>13</v>
      </c>
      <c r="C13" s="1">
        <v>4087</v>
      </c>
      <c r="D13" s="1">
        <v>9901</v>
      </c>
      <c r="E13" s="1">
        <v>5616</v>
      </c>
      <c r="F13" s="1">
        <v>3000</v>
      </c>
      <c r="G13" s="1">
        <v>13391</v>
      </c>
      <c r="H13" s="1">
        <v>3969</v>
      </c>
      <c r="I13" s="1">
        <v>3000</v>
      </c>
      <c r="J13" s="1">
        <v>3000</v>
      </c>
      <c r="K13" s="1">
        <v>6430</v>
      </c>
      <c r="L13" s="1">
        <v>4092</v>
      </c>
      <c r="M13" s="1">
        <v>9873</v>
      </c>
      <c r="N13" s="1">
        <v>3000</v>
      </c>
      <c r="O13" s="1">
        <v>69359</v>
      </c>
    </row>
    <row r="14" spans="1:15" x14ac:dyDescent="0.25">
      <c r="A14">
        <v>4410</v>
      </c>
      <c r="B14" t="s">
        <v>14</v>
      </c>
      <c r="C14" s="1">
        <v>3577</v>
      </c>
      <c r="D14" s="1">
        <v>3254</v>
      </c>
      <c r="E14" s="1">
        <v>2852</v>
      </c>
      <c r="F14" s="1">
        <v>2960</v>
      </c>
      <c r="G14" s="1">
        <v>3420</v>
      </c>
      <c r="H14" s="1">
        <v>3557</v>
      </c>
      <c r="I14" s="1">
        <v>3171</v>
      </c>
      <c r="J14" s="1">
        <v>2827</v>
      </c>
      <c r="K14" s="1">
        <v>3029</v>
      </c>
      <c r="L14" s="1">
        <v>3481</v>
      </c>
      <c r="M14" s="1">
        <v>3521</v>
      </c>
      <c r="N14" s="1">
        <v>3091</v>
      </c>
      <c r="O14" s="1">
        <v>38740</v>
      </c>
    </row>
    <row r="15" spans="1:15" x14ac:dyDescent="0.25">
      <c r="A15">
        <v>4510</v>
      </c>
      <c r="B15" t="s">
        <v>15</v>
      </c>
      <c r="C15" s="1">
        <v>2517</v>
      </c>
      <c r="D15" s="1">
        <v>1915</v>
      </c>
      <c r="E15" s="1">
        <v>2183</v>
      </c>
      <c r="F15" s="1">
        <v>2715</v>
      </c>
      <c r="G15" s="1">
        <v>2310</v>
      </c>
      <c r="H15" s="1">
        <v>1882</v>
      </c>
      <c r="I15" s="1">
        <v>2397</v>
      </c>
      <c r="J15" s="1">
        <v>2693</v>
      </c>
      <c r="K15" s="1">
        <v>2102</v>
      </c>
      <c r="L15" s="1">
        <v>1958</v>
      </c>
      <c r="M15" s="1">
        <v>2586</v>
      </c>
      <c r="N15" s="1">
        <v>2568</v>
      </c>
      <c r="O15" s="1">
        <v>27826</v>
      </c>
    </row>
    <row r="16" spans="1:15" x14ac:dyDescent="0.25">
      <c r="B16" t="s">
        <v>16</v>
      </c>
      <c r="C16" s="1">
        <v>396248</v>
      </c>
      <c r="D16" s="1">
        <v>414961</v>
      </c>
      <c r="E16" s="1">
        <v>411841</v>
      </c>
      <c r="F16" s="1">
        <v>402092</v>
      </c>
      <c r="G16" s="1">
        <v>431295</v>
      </c>
      <c r="H16" s="1">
        <v>420291</v>
      </c>
      <c r="I16" s="1">
        <v>422160</v>
      </c>
      <c r="J16" s="1">
        <v>422829</v>
      </c>
      <c r="K16" s="1">
        <v>428520</v>
      </c>
      <c r="L16" s="1">
        <v>420302</v>
      </c>
      <c r="M16" s="1">
        <v>437636</v>
      </c>
      <c r="N16" s="1">
        <v>433334</v>
      </c>
      <c r="O16" s="1">
        <v>5041509</v>
      </c>
    </row>
    <row r="17" spans="1:15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B18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>
        <v>6010</v>
      </c>
      <c r="B19" t="s">
        <v>18</v>
      </c>
      <c r="C19" s="1">
        <v>45613</v>
      </c>
      <c r="D19" s="1">
        <v>45404</v>
      </c>
      <c r="E19" s="1">
        <v>44841</v>
      </c>
      <c r="F19" s="1">
        <v>44539</v>
      </c>
      <c r="G19" s="1">
        <v>44829</v>
      </c>
      <c r="H19" s="1">
        <v>45393</v>
      </c>
      <c r="I19" s="1">
        <v>45615</v>
      </c>
      <c r="J19" s="1">
        <v>45253</v>
      </c>
      <c r="K19" s="1">
        <v>44701</v>
      </c>
      <c r="L19" s="1">
        <v>44564</v>
      </c>
      <c r="M19" s="1">
        <v>44990</v>
      </c>
      <c r="N19" s="1">
        <v>45515</v>
      </c>
      <c r="O19" s="1">
        <v>541257</v>
      </c>
    </row>
    <row r="20" spans="1:15" x14ac:dyDescent="0.25">
      <c r="A20">
        <v>6020</v>
      </c>
      <c r="B20" t="s">
        <v>19</v>
      </c>
      <c r="C20" s="1">
        <v>17206</v>
      </c>
      <c r="D20" s="1">
        <v>17028</v>
      </c>
      <c r="E20" s="1">
        <v>16842</v>
      </c>
      <c r="F20" s="1">
        <v>16850</v>
      </c>
      <c r="G20" s="1">
        <v>17044</v>
      </c>
      <c r="H20" s="1">
        <v>17212</v>
      </c>
      <c r="I20" s="1">
        <v>17170</v>
      </c>
      <c r="J20" s="1">
        <v>16964</v>
      </c>
      <c r="K20" s="1">
        <v>16820</v>
      </c>
      <c r="L20" s="1">
        <v>16894</v>
      </c>
      <c r="M20" s="1">
        <v>17106</v>
      </c>
      <c r="N20" s="1">
        <v>17224</v>
      </c>
      <c r="O20" s="1">
        <v>204360</v>
      </c>
    </row>
    <row r="21" spans="1:15" x14ac:dyDescent="0.25">
      <c r="A21">
        <v>6030</v>
      </c>
      <c r="B21" t="s">
        <v>20</v>
      </c>
      <c r="C21" s="1">
        <v>5554</v>
      </c>
      <c r="D21" s="1">
        <v>5485</v>
      </c>
      <c r="E21" s="1">
        <v>5454</v>
      </c>
      <c r="F21" s="1">
        <v>5495</v>
      </c>
      <c r="G21" s="1">
        <v>5564</v>
      </c>
      <c r="H21" s="1">
        <v>5584</v>
      </c>
      <c r="I21" s="1">
        <v>5535</v>
      </c>
      <c r="J21" s="1">
        <v>5469</v>
      </c>
      <c r="K21" s="1">
        <v>5459</v>
      </c>
      <c r="L21" s="1">
        <v>5516</v>
      </c>
      <c r="M21" s="1">
        <v>5577</v>
      </c>
      <c r="N21" s="1">
        <v>5576</v>
      </c>
      <c r="O21" s="1">
        <v>66268</v>
      </c>
    </row>
    <row r="22" spans="1:15" x14ac:dyDescent="0.25">
      <c r="A22">
        <v>6110</v>
      </c>
      <c r="B22" t="s">
        <v>21</v>
      </c>
      <c r="C22" s="1">
        <v>24823</v>
      </c>
      <c r="D22" s="1">
        <v>24567</v>
      </c>
      <c r="E22" s="1">
        <v>24610</v>
      </c>
      <c r="F22" s="1">
        <v>24904</v>
      </c>
      <c r="G22" s="1">
        <v>25129</v>
      </c>
      <c r="H22" s="1">
        <v>25038</v>
      </c>
      <c r="I22" s="1">
        <v>24731</v>
      </c>
      <c r="J22" s="1">
        <v>24543</v>
      </c>
      <c r="K22" s="1">
        <v>24680</v>
      </c>
      <c r="L22" s="1">
        <v>24992</v>
      </c>
      <c r="M22" s="1">
        <v>25137</v>
      </c>
      <c r="N22" s="1">
        <v>24958</v>
      </c>
      <c r="O22" s="1">
        <v>298112</v>
      </c>
    </row>
    <row r="23" spans="1:15" x14ac:dyDescent="0.25">
      <c r="A23">
        <v>6120</v>
      </c>
      <c r="B23" t="s">
        <v>22</v>
      </c>
      <c r="C23" s="1">
        <v>4749</v>
      </c>
      <c r="D23" s="1">
        <v>4728</v>
      </c>
      <c r="E23" s="1">
        <v>4768</v>
      </c>
      <c r="F23" s="1">
        <v>4826</v>
      </c>
      <c r="G23" s="1">
        <v>4838</v>
      </c>
      <c r="H23" s="1">
        <v>4791</v>
      </c>
      <c r="I23" s="1">
        <v>4736</v>
      </c>
      <c r="J23" s="1">
        <v>4734</v>
      </c>
      <c r="K23" s="1">
        <v>4786</v>
      </c>
      <c r="L23" s="1">
        <v>4836</v>
      </c>
      <c r="M23" s="1">
        <v>4829</v>
      </c>
      <c r="N23" s="1">
        <v>4773</v>
      </c>
      <c r="O23" s="1">
        <v>57394</v>
      </c>
    </row>
    <row r="24" spans="1:15" x14ac:dyDescent="0.25">
      <c r="A24">
        <v>6210</v>
      </c>
      <c r="B24" t="s">
        <v>23</v>
      </c>
      <c r="C24" s="1">
        <v>12278</v>
      </c>
      <c r="D24" s="1">
        <v>12315</v>
      </c>
      <c r="E24" s="1">
        <v>12466</v>
      </c>
      <c r="F24" s="1">
        <v>12567</v>
      </c>
      <c r="G24" s="1">
        <v>12507</v>
      </c>
      <c r="H24" s="1">
        <v>12352</v>
      </c>
      <c r="I24" s="1">
        <v>12271</v>
      </c>
      <c r="J24" s="1">
        <v>12353</v>
      </c>
      <c r="K24" s="1">
        <v>12508</v>
      </c>
      <c r="L24" s="1">
        <v>12567</v>
      </c>
      <c r="M24" s="1">
        <v>12465</v>
      </c>
      <c r="N24" s="1">
        <v>12314</v>
      </c>
      <c r="O24" s="1">
        <v>148963</v>
      </c>
    </row>
    <row r="25" spans="1:15" x14ac:dyDescent="0.25">
      <c r="A25">
        <v>6310</v>
      </c>
      <c r="B25" t="s">
        <v>24</v>
      </c>
      <c r="C25" s="1">
        <v>8912</v>
      </c>
      <c r="D25" s="1">
        <v>8996</v>
      </c>
      <c r="E25" s="1">
        <v>9102</v>
      </c>
      <c r="F25" s="1">
        <v>9114</v>
      </c>
      <c r="G25" s="1">
        <v>9019</v>
      </c>
      <c r="H25" s="1">
        <v>8921</v>
      </c>
      <c r="I25" s="1">
        <v>8927</v>
      </c>
      <c r="J25" s="1">
        <v>9030</v>
      </c>
      <c r="K25" s="1">
        <v>9118</v>
      </c>
      <c r="L25" s="1">
        <v>9094</v>
      </c>
      <c r="M25" s="1">
        <v>8985</v>
      </c>
      <c r="N25" s="1">
        <v>8910</v>
      </c>
      <c r="O25" s="1">
        <v>108128</v>
      </c>
    </row>
    <row r="26" spans="1:15" x14ac:dyDescent="0.25">
      <c r="A26">
        <v>6410</v>
      </c>
      <c r="B26" t="s">
        <v>25</v>
      </c>
      <c r="C26" s="1">
        <v>6209</v>
      </c>
      <c r="D26" s="1">
        <v>6286</v>
      </c>
      <c r="E26" s="1">
        <v>6331</v>
      </c>
      <c r="F26" s="1">
        <v>6294</v>
      </c>
      <c r="G26" s="1">
        <v>6215</v>
      </c>
      <c r="H26" s="1">
        <v>6181</v>
      </c>
      <c r="I26" s="1">
        <v>6229</v>
      </c>
      <c r="J26" s="1">
        <v>6306</v>
      </c>
      <c r="K26" s="1">
        <v>6328</v>
      </c>
      <c r="L26" s="1">
        <v>6271</v>
      </c>
      <c r="M26" s="1">
        <v>6198</v>
      </c>
      <c r="N26" s="1">
        <v>6187</v>
      </c>
      <c r="O26" s="1">
        <v>75035</v>
      </c>
    </row>
    <row r="27" spans="1:15" x14ac:dyDescent="0.25">
      <c r="A27">
        <v>6510</v>
      </c>
      <c r="B27" t="s">
        <v>26</v>
      </c>
      <c r="C27" s="1">
        <v>7536</v>
      </c>
      <c r="D27" s="1">
        <v>7621</v>
      </c>
      <c r="E27" s="1">
        <v>7621</v>
      </c>
      <c r="F27" s="1">
        <v>7537</v>
      </c>
      <c r="G27" s="1">
        <v>7460</v>
      </c>
      <c r="H27" s="1">
        <v>7475</v>
      </c>
      <c r="I27" s="1">
        <v>7565</v>
      </c>
      <c r="J27" s="1">
        <v>7632</v>
      </c>
      <c r="K27" s="1">
        <v>7603</v>
      </c>
      <c r="L27" s="1">
        <v>7509</v>
      </c>
      <c r="M27" s="1">
        <v>7454</v>
      </c>
      <c r="N27" s="1">
        <v>7497</v>
      </c>
      <c r="O27" s="1">
        <v>90510</v>
      </c>
    </row>
    <row r="28" spans="1:15" x14ac:dyDescent="0.25">
      <c r="A28">
        <v>6610</v>
      </c>
      <c r="B28" t="s">
        <v>27</v>
      </c>
      <c r="C28" s="1">
        <v>5183</v>
      </c>
      <c r="D28" s="1">
        <v>5214</v>
      </c>
      <c r="E28" s="1">
        <v>5177</v>
      </c>
      <c r="F28" s="1">
        <v>5113</v>
      </c>
      <c r="G28" s="1">
        <v>5091</v>
      </c>
      <c r="H28" s="1">
        <v>5136</v>
      </c>
      <c r="I28" s="1">
        <v>5198</v>
      </c>
      <c r="J28" s="1">
        <v>5210</v>
      </c>
      <c r="K28" s="1">
        <v>5159</v>
      </c>
      <c r="L28" s="1">
        <v>5100</v>
      </c>
      <c r="M28" s="1">
        <v>5098</v>
      </c>
      <c r="N28" s="1">
        <v>5155</v>
      </c>
      <c r="O28" s="1">
        <v>61834</v>
      </c>
    </row>
    <row r="29" spans="1:15" x14ac:dyDescent="0.25">
      <c r="A29">
        <v>6620</v>
      </c>
      <c r="B29" t="s">
        <v>28</v>
      </c>
      <c r="C29" s="1">
        <v>8555</v>
      </c>
      <c r="D29" s="1">
        <v>8545</v>
      </c>
      <c r="E29" s="1">
        <v>8446</v>
      </c>
      <c r="F29" s="1">
        <v>8367</v>
      </c>
      <c r="G29" s="1">
        <v>8394</v>
      </c>
      <c r="H29" s="1">
        <v>8497</v>
      </c>
      <c r="I29" s="1">
        <v>8565</v>
      </c>
      <c r="J29" s="1">
        <v>8522</v>
      </c>
      <c r="K29" s="1">
        <v>8416</v>
      </c>
      <c r="L29" s="1">
        <v>8362</v>
      </c>
      <c r="M29" s="1">
        <v>8420</v>
      </c>
      <c r="N29" s="1">
        <v>8526</v>
      </c>
      <c r="O29" s="1">
        <v>101615</v>
      </c>
    </row>
    <row r="30" spans="1:15" x14ac:dyDescent="0.25">
      <c r="A30">
        <v>6630</v>
      </c>
      <c r="B30" t="s">
        <v>29</v>
      </c>
      <c r="C30" s="1">
        <v>7075</v>
      </c>
      <c r="D30" s="1">
        <v>7019</v>
      </c>
      <c r="E30" s="1">
        <v>6933</v>
      </c>
      <c r="F30" s="1">
        <v>6912</v>
      </c>
      <c r="G30" s="1">
        <v>6978</v>
      </c>
      <c r="H30" s="1">
        <v>7059</v>
      </c>
      <c r="I30" s="1">
        <v>7067</v>
      </c>
      <c r="J30" s="1">
        <v>6993</v>
      </c>
      <c r="K30" s="1">
        <v>6918</v>
      </c>
      <c r="L30" s="1">
        <v>6924</v>
      </c>
      <c r="M30" s="1">
        <v>7005</v>
      </c>
      <c r="N30" s="1">
        <v>7072</v>
      </c>
      <c r="O30" s="1">
        <v>83955</v>
      </c>
    </row>
    <row r="31" spans="1:15" x14ac:dyDescent="0.25">
      <c r="A31">
        <v>6710</v>
      </c>
      <c r="B31" t="s">
        <v>30</v>
      </c>
      <c r="C31" s="1">
        <v>14601</v>
      </c>
      <c r="D31" s="1">
        <v>14555</v>
      </c>
      <c r="E31" s="1">
        <v>14496</v>
      </c>
      <c r="F31" s="1">
        <v>14489</v>
      </c>
      <c r="G31" s="1">
        <v>14541</v>
      </c>
      <c r="H31" s="1">
        <v>14596</v>
      </c>
      <c r="I31" s="1">
        <v>14593</v>
      </c>
      <c r="J31" s="1">
        <v>14536</v>
      </c>
      <c r="K31" s="1">
        <v>14487</v>
      </c>
      <c r="L31" s="1">
        <v>14500</v>
      </c>
      <c r="M31" s="1">
        <v>14560</v>
      </c>
      <c r="N31" s="1">
        <v>14602</v>
      </c>
      <c r="O31" s="1">
        <v>174556</v>
      </c>
    </row>
    <row r="32" spans="1:15" x14ac:dyDescent="0.25">
      <c r="A32">
        <v>6720</v>
      </c>
      <c r="B32" t="s">
        <v>31</v>
      </c>
      <c r="C32" s="1">
        <v>11296</v>
      </c>
      <c r="D32" s="1">
        <v>11335</v>
      </c>
      <c r="E32" s="1">
        <v>11321</v>
      </c>
      <c r="F32" s="1">
        <v>11262</v>
      </c>
      <c r="G32" s="1">
        <v>11185</v>
      </c>
      <c r="H32" s="1">
        <v>11126</v>
      </c>
      <c r="I32" s="1">
        <v>11114</v>
      </c>
      <c r="J32" s="1">
        <v>11153</v>
      </c>
      <c r="K32" s="1">
        <v>11226</v>
      </c>
      <c r="L32" s="1">
        <v>11298</v>
      </c>
      <c r="M32" s="1">
        <v>11335</v>
      </c>
      <c r="N32" s="1">
        <v>11320</v>
      </c>
      <c r="O32" s="1">
        <v>134971</v>
      </c>
    </row>
    <row r="33" spans="1:15" x14ac:dyDescent="0.25">
      <c r="A33">
        <v>6730</v>
      </c>
      <c r="B33" t="s">
        <v>32</v>
      </c>
      <c r="C33" s="1">
        <v>3051</v>
      </c>
      <c r="D33" s="1">
        <v>3062</v>
      </c>
      <c r="E33" s="1">
        <v>3066</v>
      </c>
      <c r="F33" s="1">
        <v>3064</v>
      </c>
      <c r="G33" s="1">
        <v>3054</v>
      </c>
      <c r="H33" s="1">
        <v>3040</v>
      </c>
      <c r="I33" s="1">
        <v>3025</v>
      </c>
      <c r="J33" s="1">
        <v>3013</v>
      </c>
      <c r="K33" s="1">
        <v>3006</v>
      </c>
      <c r="L33" s="1">
        <v>3007</v>
      </c>
      <c r="M33" s="1">
        <v>3015</v>
      </c>
      <c r="N33" s="1">
        <v>3028</v>
      </c>
      <c r="O33" s="1">
        <v>36431</v>
      </c>
    </row>
    <row r="34" spans="1:15" x14ac:dyDescent="0.25">
      <c r="A34">
        <v>7010</v>
      </c>
      <c r="B34" t="s">
        <v>33</v>
      </c>
      <c r="C34" s="1">
        <v>14219</v>
      </c>
      <c r="D34" s="1">
        <v>14256</v>
      </c>
      <c r="E34" s="1">
        <v>14128</v>
      </c>
      <c r="F34" s="1">
        <v>13913</v>
      </c>
      <c r="G34" s="1">
        <v>13740</v>
      </c>
      <c r="H34" s="1">
        <v>13716</v>
      </c>
      <c r="I34" s="1">
        <v>13854</v>
      </c>
      <c r="J34" s="1">
        <v>14071</v>
      </c>
      <c r="K34" s="1">
        <v>14235</v>
      </c>
      <c r="L34" s="1">
        <v>14247</v>
      </c>
      <c r="M34" s="1">
        <v>14099</v>
      </c>
      <c r="N34" s="1">
        <v>13882</v>
      </c>
      <c r="O34" s="1">
        <v>168360</v>
      </c>
    </row>
    <row r="35" spans="1:15" x14ac:dyDescent="0.25">
      <c r="A35">
        <v>7020</v>
      </c>
      <c r="B35" t="s">
        <v>34</v>
      </c>
      <c r="C35" s="1">
        <v>2252</v>
      </c>
      <c r="D35" s="1">
        <v>2234</v>
      </c>
      <c r="E35" s="1">
        <v>2193</v>
      </c>
      <c r="F35" s="1">
        <v>2165</v>
      </c>
      <c r="G35" s="1">
        <v>2177</v>
      </c>
      <c r="H35" s="1">
        <v>2217</v>
      </c>
      <c r="I35" s="1">
        <v>2249</v>
      </c>
      <c r="J35" s="1">
        <v>2243</v>
      </c>
      <c r="K35" s="1">
        <v>2205</v>
      </c>
      <c r="L35" s="1">
        <v>2169</v>
      </c>
      <c r="M35" s="1">
        <v>2169</v>
      </c>
      <c r="N35" s="1">
        <v>2205</v>
      </c>
      <c r="O35" s="1">
        <v>26478</v>
      </c>
    </row>
    <row r="36" spans="1:15" x14ac:dyDescent="0.25">
      <c r="A36">
        <v>7110</v>
      </c>
      <c r="B36" t="s">
        <v>35</v>
      </c>
      <c r="C36" s="1">
        <v>2620</v>
      </c>
      <c r="D36" s="1">
        <v>2568</v>
      </c>
      <c r="E36" s="1">
        <v>2526</v>
      </c>
      <c r="F36" s="1">
        <v>2548</v>
      </c>
      <c r="G36" s="1">
        <v>2606</v>
      </c>
      <c r="H36" s="1">
        <v>2626</v>
      </c>
      <c r="I36" s="1">
        <v>2582</v>
      </c>
      <c r="J36" s="1">
        <v>2531</v>
      </c>
      <c r="K36" s="1">
        <v>2537</v>
      </c>
      <c r="L36" s="1">
        <v>2593</v>
      </c>
      <c r="M36" s="1">
        <v>2627</v>
      </c>
      <c r="N36" s="1">
        <v>2596</v>
      </c>
      <c r="O36" s="1">
        <v>30960</v>
      </c>
    </row>
    <row r="37" spans="1:15" x14ac:dyDescent="0.25">
      <c r="A37">
        <v>7210</v>
      </c>
      <c r="B37" t="s">
        <v>36</v>
      </c>
      <c r="C37" s="1">
        <v>3340</v>
      </c>
      <c r="D37" s="1">
        <v>3258</v>
      </c>
      <c r="E37" s="1">
        <v>3265</v>
      </c>
      <c r="F37" s="1">
        <v>3350</v>
      </c>
      <c r="G37" s="1">
        <v>3372</v>
      </c>
      <c r="H37" s="1">
        <v>3294</v>
      </c>
      <c r="I37" s="1">
        <v>3246</v>
      </c>
      <c r="J37" s="1">
        <v>3308</v>
      </c>
      <c r="K37" s="1">
        <v>3376</v>
      </c>
      <c r="L37" s="1">
        <v>3338</v>
      </c>
      <c r="M37" s="1">
        <v>3257</v>
      </c>
      <c r="N37" s="1">
        <v>3267</v>
      </c>
      <c r="O37" s="1">
        <v>39671</v>
      </c>
    </row>
    <row r="38" spans="1:15" x14ac:dyDescent="0.25">
      <c r="A38">
        <v>7410</v>
      </c>
      <c r="B38" t="s">
        <v>37</v>
      </c>
      <c r="C38" s="1">
        <v>5535</v>
      </c>
      <c r="D38" s="1">
        <v>5400</v>
      </c>
      <c r="E38" s="1">
        <v>5242</v>
      </c>
      <c r="F38" s="1">
        <v>5118</v>
      </c>
      <c r="G38" s="1">
        <v>5069</v>
      </c>
      <c r="H38" s="1">
        <v>5114</v>
      </c>
      <c r="I38" s="1">
        <v>5236</v>
      </c>
      <c r="J38" s="1">
        <v>5393</v>
      </c>
      <c r="K38" s="1">
        <v>5530</v>
      </c>
      <c r="L38" s="1">
        <v>5600</v>
      </c>
      <c r="M38" s="1">
        <v>5577</v>
      </c>
      <c r="N38" s="1">
        <v>5470</v>
      </c>
      <c r="O38" s="1">
        <v>64284</v>
      </c>
    </row>
    <row r="39" spans="1:15" x14ac:dyDescent="0.25">
      <c r="A39">
        <v>7510</v>
      </c>
      <c r="B39" t="s">
        <v>38</v>
      </c>
      <c r="C39" s="1">
        <v>11592</v>
      </c>
      <c r="D39" s="1">
        <v>12075</v>
      </c>
      <c r="E39" s="1">
        <v>10143</v>
      </c>
      <c r="F39" s="1">
        <v>8694</v>
      </c>
      <c r="G39" s="1">
        <v>8694</v>
      </c>
      <c r="H39" s="1">
        <v>10143</v>
      </c>
      <c r="I39" s="1">
        <v>11109</v>
      </c>
      <c r="J39" s="1">
        <v>10626</v>
      </c>
      <c r="K39" s="1">
        <v>9177</v>
      </c>
      <c r="L39" s="1">
        <v>8211</v>
      </c>
      <c r="M39" s="1">
        <v>8694</v>
      </c>
      <c r="N39" s="1">
        <v>10626</v>
      </c>
      <c r="O39" s="1">
        <v>119784</v>
      </c>
    </row>
    <row r="40" spans="1:15" x14ac:dyDescent="0.25">
      <c r="A40">
        <v>7520</v>
      </c>
      <c r="B40" t="s">
        <v>39</v>
      </c>
      <c r="C40" s="1">
        <v>1573</v>
      </c>
      <c r="D40" s="1">
        <v>1573</v>
      </c>
      <c r="E40" s="1">
        <v>1923</v>
      </c>
      <c r="F40" s="1">
        <v>2972</v>
      </c>
      <c r="G40" s="1">
        <v>4370</v>
      </c>
      <c r="H40" s="1">
        <v>5419</v>
      </c>
      <c r="I40" s="1">
        <v>5594</v>
      </c>
      <c r="J40" s="1">
        <v>5244</v>
      </c>
      <c r="K40" s="1">
        <v>4195</v>
      </c>
      <c r="L40" s="1">
        <v>2972</v>
      </c>
      <c r="M40" s="1">
        <v>2098</v>
      </c>
      <c r="N40" s="1">
        <v>1748</v>
      </c>
      <c r="O40" s="1">
        <v>39681</v>
      </c>
    </row>
    <row r="41" spans="1:15" x14ac:dyDescent="0.25">
      <c r="A41">
        <v>7530</v>
      </c>
      <c r="B41" t="s">
        <v>40</v>
      </c>
      <c r="C41" s="1">
        <v>4126</v>
      </c>
      <c r="D41" s="1">
        <v>4126</v>
      </c>
      <c r="E41" s="1">
        <v>3767</v>
      </c>
      <c r="F41" s="1">
        <v>3588</v>
      </c>
      <c r="G41" s="1">
        <v>3409</v>
      </c>
      <c r="H41" s="1">
        <v>3409</v>
      </c>
      <c r="I41" s="1">
        <v>3409</v>
      </c>
      <c r="J41" s="1">
        <v>3409</v>
      </c>
      <c r="K41" s="1">
        <v>3588</v>
      </c>
      <c r="L41" s="1">
        <v>3588</v>
      </c>
      <c r="M41" s="1">
        <v>3767</v>
      </c>
      <c r="N41" s="1">
        <v>4126</v>
      </c>
      <c r="O41" s="1">
        <v>44312</v>
      </c>
    </row>
    <row r="42" spans="1:15" x14ac:dyDescent="0.25">
      <c r="A42">
        <v>7540</v>
      </c>
      <c r="B42" t="s">
        <v>41</v>
      </c>
      <c r="C42" s="1">
        <v>1564</v>
      </c>
      <c r="D42" s="1">
        <v>1564</v>
      </c>
      <c r="E42" s="1">
        <v>1564</v>
      </c>
      <c r="F42" s="1">
        <v>1564</v>
      </c>
      <c r="G42" s="1">
        <v>1564</v>
      </c>
      <c r="H42" s="1">
        <v>1564</v>
      </c>
      <c r="I42" s="1">
        <v>1564</v>
      </c>
      <c r="J42" s="1">
        <v>1564</v>
      </c>
      <c r="K42" s="1">
        <v>1564</v>
      </c>
      <c r="L42" s="1">
        <v>1564</v>
      </c>
      <c r="M42" s="1">
        <v>1564</v>
      </c>
      <c r="N42" s="1">
        <v>1564</v>
      </c>
      <c r="O42" s="1">
        <v>18768</v>
      </c>
    </row>
    <row r="43" spans="1:15" x14ac:dyDescent="0.25">
      <c r="A43">
        <v>7610</v>
      </c>
      <c r="B43" t="s">
        <v>42</v>
      </c>
      <c r="C43" s="1">
        <v>6661</v>
      </c>
      <c r="D43" s="1">
        <v>6442</v>
      </c>
      <c r="E43" s="1">
        <v>6360</v>
      </c>
      <c r="F43" s="1">
        <v>6478</v>
      </c>
      <c r="G43" s="1">
        <v>6707</v>
      </c>
      <c r="H43" s="1">
        <v>6873</v>
      </c>
      <c r="I43" s="1">
        <v>6850</v>
      </c>
      <c r="J43" s="1">
        <v>6657</v>
      </c>
      <c r="K43" s="1">
        <v>6439</v>
      </c>
      <c r="L43" s="1">
        <v>6360</v>
      </c>
      <c r="M43" s="1">
        <v>6482</v>
      </c>
      <c r="N43" s="1">
        <v>6711</v>
      </c>
      <c r="O43" s="1">
        <v>79020</v>
      </c>
    </row>
    <row r="44" spans="1:15" x14ac:dyDescent="0.25">
      <c r="A44">
        <v>7710</v>
      </c>
      <c r="B44" t="s">
        <v>43</v>
      </c>
      <c r="C44" s="1">
        <v>2760</v>
      </c>
      <c r="D44" s="1">
        <v>2760</v>
      </c>
      <c r="E44" s="1">
        <v>2760</v>
      </c>
      <c r="F44" s="1">
        <v>2760</v>
      </c>
      <c r="G44" s="1">
        <v>2760</v>
      </c>
      <c r="H44" s="1">
        <v>2760</v>
      </c>
      <c r="I44" s="1">
        <v>2760</v>
      </c>
      <c r="J44" s="1">
        <v>2760</v>
      </c>
      <c r="K44" s="1">
        <v>2760</v>
      </c>
      <c r="L44" s="1">
        <v>2760</v>
      </c>
      <c r="M44" s="1">
        <v>2760</v>
      </c>
      <c r="N44" s="1">
        <v>2760</v>
      </c>
      <c r="O44" s="1">
        <v>33120</v>
      </c>
    </row>
    <row r="45" spans="1:15" x14ac:dyDescent="0.25">
      <c r="A45">
        <v>7810</v>
      </c>
      <c r="B45" t="s">
        <v>44</v>
      </c>
      <c r="C45" s="1">
        <v>10120</v>
      </c>
      <c r="D45" s="1">
        <v>10120</v>
      </c>
      <c r="E45" s="1">
        <v>10120</v>
      </c>
      <c r="F45" s="1">
        <v>10120</v>
      </c>
      <c r="G45" s="1">
        <v>10120</v>
      </c>
      <c r="H45" s="1">
        <v>10120</v>
      </c>
      <c r="I45" s="1">
        <v>10120</v>
      </c>
      <c r="J45" s="1">
        <v>10120</v>
      </c>
      <c r="K45" s="1">
        <v>10120</v>
      </c>
      <c r="L45" s="1">
        <v>10120</v>
      </c>
      <c r="M45" s="1">
        <v>10120</v>
      </c>
      <c r="N45" s="1">
        <v>10120</v>
      </c>
      <c r="O45" s="1">
        <v>121440</v>
      </c>
    </row>
    <row r="46" spans="1:15" x14ac:dyDescent="0.25">
      <c r="A46">
        <v>7820</v>
      </c>
      <c r="B46" t="s">
        <v>45</v>
      </c>
      <c r="C46" s="1">
        <v>12880</v>
      </c>
      <c r="D46" s="1">
        <v>12880</v>
      </c>
      <c r="E46" s="1">
        <v>12880</v>
      </c>
      <c r="F46" s="1">
        <v>12880</v>
      </c>
      <c r="G46" s="1">
        <v>12880</v>
      </c>
      <c r="H46" s="1">
        <v>12880</v>
      </c>
      <c r="I46" s="1">
        <v>12880</v>
      </c>
      <c r="J46" s="1">
        <v>12880</v>
      </c>
      <c r="K46" s="1">
        <v>12880</v>
      </c>
      <c r="L46" s="1">
        <v>12880</v>
      </c>
      <c r="M46" s="1">
        <v>12880</v>
      </c>
      <c r="N46" s="1">
        <v>12880</v>
      </c>
      <c r="O46" s="1">
        <v>154560</v>
      </c>
    </row>
    <row r="47" spans="1:15" x14ac:dyDescent="0.25">
      <c r="A47">
        <v>7910</v>
      </c>
      <c r="B47" t="s">
        <v>46</v>
      </c>
      <c r="C47" s="1">
        <v>19812</v>
      </c>
      <c r="D47" s="1">
        <v>20748</v>
      </c>
      <c r="E47" s="1">
        <v>20592</v>
      </c>
      <c r="F47" s="1">
        <v>20105</v>
      </c>
      <c r="G47" s="1">
        <v>21565</v>
      </c>
      <c r="H47" s="1">
        <v>21015</v>
      </c>
      <c r="I47" s="1">
        <v>21108</v>
      </c>
      <c r="J47" s="1">
        <v>21141</v>
      </c>
      <c r="K47" s="1">
        <v>21426</v>
      </c>
      <c r="L47" s="1">
        <v>21015</v>
      </c>
      <c r="M47" s="1">
        <v>21882</v>
      </c>
      <c r="N47" s="1">
        <v>21667</v>
      </c>
      <c r="O47" s="1">
        <v>252076</v>
      </c>
    </row>
    <row r="48" spans="1:15" x14ac:dyDescent="0.25">
      <c r="A48">
        <v>7990</v>
      </c>
      <c r="B48" t="s">
        <v>47</v>
      </c>
      <c r="C48" s="1">
        <v>4128</v>
      </c>
      <c r="D48" s="1">
        <v>4162</v>
      </c>
      <c r="E48" s="1">
        <v>4340</v>
      </c>
      <c r="F48" s="1">
        <v>4296</v>
      </c>
      <c r="G48" s="1">
        <v>4120</v>
      </c>
      <c r="H48" s="1">
        <v>4175</v>
      </c>
      <c r="I48" s="1">
        <v>4347</v>
      </c>
      <c r="J48" s="1">
        <v>4282</v>
      </c>
      <c r="K48" s="1">
        <v>4114</v>
      </c>
      <c r="L48" s="1">
        <v>4189</v>
      </c>
      <c r="M48" s="1">
        <v>4353</v>
      </c>
      <c r="N48" s="1">
        <v>4268</v>
      </c>
      <c r="O48" s="1">
        <v>50774</v>
      </c>
    </row>
    <row r="49" spans="2:15" x14ac:dyDescent="0.25">
      <c r="B49" t="s">
        <v>48</v>
      </c>
      <c r="C49" s="1">
        <v>285823</v>
      </c>
      <c r="D49" s="1">
        <v>286326</v>
      </c>
      <c r="E49" s="1">
        <v>283277</v>
      </c>
      <c r="F49" s="1">
        <v>281884</v>
      </c>
      <c r="G49" s="1">
        <v>285001</v>
      </c>
      <c r="H49" s="1">
        <v>287726</v>
      </c>
      <c r="I49" s="1">
        <v>289249</v>
      </c>
      <c r="J49" s="1">
        <v>287940</v>
      </c>
      <c r="K49" s="1">
        <v>285361</v>
      </c>
      <c r="L49" s="1">
        <v>283040</v>
      </c>
      <c r="M49" s="1">
        <v>284503</v>
      </c>
      <c r="N49" s="1">
        <v>286547</v>
      </c>
      <c r="O49" s="1">
        <v>3426677</v>
      </c>
    </row>
    <row r="50" spans="2:15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x14ac:dyDescent="0.25">
      <c r="B51" t="s">
        <v>49</v>
      </c>
      <c r="C51" s="1">
        <v>110425</v>
      </c>
      <c r="D51" s="1">
        <v>128635</v>
      </c>
      <c r="E51" s="1">
        <v>128564</v>
      </c>
      <c r="F51" s="1">
        <v>120208</v>
      </c>
      <c r="G51" s="1">
        <v>146294</v>
      </c>
      <c r="H51" s="1">
        <v>132565</v>
      </c>
      <c r="I51" s="1">
        <v>132911</v>
      </c>
      <c r="J51" s="1">
        <v>134889</v>
      </c>
      <c r="K51" s="1">
        <v>143159</v>
      </c>
      <c r="L51" s="1">
        <v>137262</v>
      </c>
      <c r="M51" s="1">
        <v>153133</v>
      </c>
      <c r="N51" s="1">
        <v>146787</v>
      </c>
      <c r="O51" s="1">
        <v>1614832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Aster Ridge.H (Review)</vt:lpstr>
      <vt:lpstr>Census</vt:lpstr>
      <vt:lpstr>AR PnL Mapping</vt:lpstr>
      <vt:lpstr>AR Historical Financials</vt:lpstr>
      <vt:lpstr>AR Unformatted 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Morris</dc:creator>
  <cp:lastModifiedBy>Ryan Morris</cp:lastModifiedBy>
  <dcterms:created xsi:type="dcterms:W3CDTF">2026-07-29T22:59:29Z</dcterms:created>
  <dcterms:modified xsi:type="dcterms:W3CDTF">2026-07-30T00:05:00Z</dcterms:modified>
</cp:coreProperties>
</file>