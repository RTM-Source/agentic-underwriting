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606" documentId="8_{F48BEDEC-2375-49D1-93B6-B23F139386EF}" xr6:coauthVersionLast="47" xr6:coauthVersionMax="47" xr10:uidLastSave="{F1411271-676D-42D7-9452-046DF3A9F83F}"/>
  <bookViews>
    <workbookView xWindow="3510" yWindow="3510" windowWidth="21600" windowHeight="11295" xr2:uid="{0F75FB63-7402-4B61-9D8E-BDBBDA521B00}"/>
  </bookViews>
  <sheets>
    <sheet name="Aster Ridge.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5" i="1" l="1"/>
  <c r="AV204" i="1"/>
  <c r="AV203" i="1"/>
  <c r="CO27" i="1"/>
  <c r="CO25" i="1"/>
  <c r="CO24" i="1"/>
  <c r="CO23" i="1"/>
  <c r="CN23" i="1"/>
  <c r="CM23" i="1"/>
  <c r="CL23" i="1"/>
  <c r="CO21" i="1"/>
  <c r="CO20" i="1"/>
  <c r="CO19" i="1"/>
  <c r="CO17" i="1"/>
  <c r="CO16" i="1"/>
  <c r="CO15" i="1"/>
  <c r="CN15" i="1"/>
  <c r="CM15" i="1"/>
  <c r="CL15" i="1"/>
  <c r="CO14" i="1"/>
  <c r="CJ27" i="1"/>
  <c r="CJ25" i="1"/>
  <c r="CJ24" i="1"/>
  <c r="CJ23" i="1"/>
  <c r="CI23" i="1"/>
  <c r="CH23" i="1"/>
  <c r="CG23" i="1"/>
  <c r="CJ21" i="1"/>
  <c r="CJ20" i="1"/>
  <c r="CJ19" i="1"/>
  <c r="CJ17" i="1"/>
  <c r="CJ16" i="1"/>
  <c r="CJ15" i="1"/>
  <c r="CJ14" i="1"/>
  <c r="BV27" i="1"/>
  <c r="BU27" i="1"/>
  <c r="BT27" i="1"/>
  <c r="BR27" i="1"/>
  <c r="BQ27" i="1"/>
  <c r="BV25" i="1"/>
  <c r="BU25" i="1"/>
  <c r="BT25" i="1"/>
  <c r="BR25" i="1"/>
  <c r="BQ25" i="1"/>
  <c r="CD24" i="1"/>
  <c r="BV24" i="1"/>
  <c r="BU24" i="1"/>
  <c r="BT24" i="1"/>
  <c r="BR24" i="1"/>
  <c r="BQ24" i="1"/>
  <c r="CD23" i="1"/>
  <c r="BV23" i="1"/>
  <c r="BU23" i="1"/>
  <c r="BT23" i="1"/>
  <c r="BR23" i="1"/>
  <c r="BQ23" i="1"/>
  <c r="BV21" i="1"/>
  <c r="BU21" i="1"/>
  <c r="BT21" i="1"/>
  <c r="BR21" i="1"/>
  <c r="BQ21" i="1"/>
  <c r="CD20" i="1"/>
  <c r="BV20" i="1"/>
  <c r="BU20" i="1"/>
  <c r="BT20" i="1"/>
  <c r="BR20" i="1"/>
  <c r="BQ20" i="1"/>
  <c r="CD19" i="1"/>
  <c r="BV19" i="1"/>
  <c r="BU19" i="1"/>
  <c r="BT19" i="1"/>
  <c r="BR19" i="1"/>
  <c r="BQ19" i="1"/>
  <c r="BV17" i="1"/>
  <c r="BU17" i="1"/>
  <c r="BT17" i="1"/>
  <c r="BR17" i="1"/>
  <c r="BQ17" i="1"/>
  <c r="CD16" i="1"/>
  <c r="BV16" i="1"/>
  <c r="BU16" i="1"/>
  <c r="BT16" i="1"/>
  <c r="BR16" i="1"/>
  <c r="BQ16" i="1"/>
  <c r="CD15" i="1"/>
  <c r="BV15" i="1"/>
  <c r="BU15" i="1"/>
  <c r="BT15" i="1"/>
  <c r="BR15" i="1"/>
  <c r="BQ15" i="1"/>
  <c r="CD14" i="1"/>
  <c r="BV14" i="1"/>
  <c r="BU14" i="1"/>
  <c r="BT14" i="1"/>
  <c r="BR14" i="1"/>
  <c r="BQ14" i="1"/>
  <c r="BL20" i="1"/>
  <c r="BL19" i="1"/>
  <c r="BL18" i="1"/>
  <c r="BL17" i="1"/>
  <c r="BL16" i="1"/>
  <c r="BL15" i="1"/>
  <c r="BL14" i="1"/>
  <c r="AS15" i="1"/>
  <c r="BB15" i="1"/>
  <c r="BC15" i="1"/>
  <c r="BD15" i="1"/>
  <c r="BE15" i="1"/>
  <c r="AS16" i="1"/>
  <c r="BF16" i="1" s="1"/>
  <c r="AS18" i="1"/>
  <c r="BF18" i="1" s="1"/>
  <c r="BB18" i="1"/>
  <c r="BC18" i="1"/>
  <c r="BD18" i="1"/>
  <c r="BE18" i="1"/>
  <c r="AS20" i="1"/>
  <c r="BB20" i="1"/>
  <c r="BC20" i="1"/>
  <c r="BD20" i="1"/>
  <c r="BE20" i="1"/>
  <c r="AS21" i="1"/>
  <c r="BF21" i="1" s="1"/>
  <c r="AS23" i="1"/>
  <c r="BF23" i="1" s="1"/>
  <c r="BB23" i="1"/>
  <c r="AS25" i="1"/>
  <c r="BF25" i="1" s="1"/>
  <c r="BB25" i="1"/>
  <c r="BC25" i="1"/>
  <c r="BD25" i="1"/>
  <c r="BE25" i="1"/>
  <c r="AS27" i="1"/>
  <c r="BF27" i="1" s="1"/>
  <c r="BB27" i="1"/>
  <c r="BC27" i="1"/>
  <c r="BD27" i="1"/>
  <c r="BE27" i="1"/>
  <c r="AS29" i="1"/>
  <c r="BF29" i="1" s="1"/>
  <c r="BB29" i="1"/>
  <c r="BC29" i="1"/>
  <c r="BD29" i="1"/>
  <c r="BE29" i="1"/>
  <c r="AS31" i="1"/>
  <c r="BF31" i="1" s="1"/>
  <c r="BB31" i="1"/>
  <c r="BC31" i="1"/>
  <c r="BD31" i="1"/>
  <c r="BE31" i="1"/>
  <c r="AS33" i="1"/>
  <c r="BF33" i="1" s="1"/>
  <c r="BB33" i="1"/>
  <c r="BC33" i="1"/>
  <c r="BD33" i="1"/>
  <c r="BE33" i="1"/>
  <c r="AS35" i="1"/>
  <c r="BF35" i="1" s="1"/>
  <c r="BB35" i="1"/>
  <c r="BC35" i="1"/>
  <c r="BD35" i="1"/>
  <c r="BE35" i="1"/>
  <c r="AS36" i="1"/>
  <c r="BF36" i="1"/>
  <c r="AS38" i="1"/>
  <c r="BF38" i="1" s="1"/>
  <c r="BB38" i="1"/>
  <c r="BC38" i="1"/>
  <c r="BD38" i="1"/>
  <c r="BE38" i="1"/>
  <c r="AS40" i="1"/>
  <c r="BF40" i="1" s="1"/>
  <c r="BB40" i="1"/>
  <c r="BC40" i="1"/>
  <c r="BD40" i="1"/>
  <c r="BE40" i="1"/>
  <c r="AS42" i="1"/>
  <c r="BF42" i="1" s="1"/>
  <c r="BB42" i="1"/>
  <c r="BC42" i="1"/>
  <c r="BD42" i="1"/>
  <c r="BE42" i="1"/>
  <c r="AS44" i="1"/>
  <c r="BF44" i="1" s="1"/>
  <c r="BB44" i="1"/>
  <c r="BC44" i="1"/>
  <c r="BD44" i="1"/>
  <c r="BE44" i="1"/>
  <c r="AS46" i="1"/>
  <c r="BF46" i="1" s="1"/>
  <c r="BB46" i="1"/>
  <c r="BC46" i="1"/>
  <c r="BD46" i="1"/>
  <c r="BE46" i="1"/>
  <c r="AS48" i="1"/>
  <c r="BF48" i="1" s="1"/>
  <c r="BB48" i="1"/>
  <c r="BC48" i="1"/>
  <c r="BD48" i="1"/>
  <c r="BE48" i="1"/>
  <c r="AS50" i="1"/>
  <c r="BF50" i="1" s="1"/>
  <c r="BB50" i="1"/>
  <c r="BC50" i="1"/>
  <c r="BD50" i="1"/>
  <c r="BE50" i="1"/>
  <c r="AS52" i="1"/>
  <c r="BF52" i="1" s="1"/>
  <c r="BB52" i="1"/>
  <c r="BC52" i="1"/>
  <c r="BD52" i="1"/>
  <c r="BE52" i="1"/>
  <c r="AS54" i="1"/>
  <c r="BF54" i="1" s="1"/>
  <c r="BB54" i="1"/>
  <c r="AS56" i="1"/>
  <c r="BF56" i="1" s="1"/>
  <c r="BB56" i="1"/>
  <c r="BC56" i="1"/>
  <c r="BD56" i="1"/>
  <c r="BE56" i="1"/>
  <c r="AS58" i="1"/>
  <c r="BF58" i="1" s="1"/>
  <c r="BB58" i="1"/>
  <c r="BC58" i="1"/>
  <c r="BD58" i="1"/>
  <c r="BE58" i="1"/>
  <c r="AS60" i="1"/>
  <c r="BF60" i="1" s="1"/>
  <c r="BB60" i="1"/>
  <c r="BC60" i="1"/>
  <c r="BD60" i="1"/>
  <c r="BE60" i="1"/>
  <c r="AS61" i="1"/>
  <c r="BF61" i="1" s="1"/>
  <c r="AS63" i="1"/>
  <c r="BF63" i="1" s="1"/>
  <c r="BB63" i="1"/>
  <c r="BC63" i="1"/>
  <c r="BD63" i="1"/>
  <c r="BE63" i="1"/>
  <c r="AS65" i="1"/>
  <c r="BF65" i="1" s="1"/>
  <c r="BB65" i="1"/>
  <c r="BC65" i="1"/>
  <c r="BD65" i="1"/>
  <c r="BE65" i="1"/>
  <c r="AS67" i="1"/>
  <c r="BF67" i="1" s="1"/>
  <c r="BB67" i="1"/>
  <c r="BC67" i="1"/>
  <c r="BD67" i="1"/>
  <c r="BE67" i="1"/>
  <c r="AS69" i="1"/>
  <c r="BF69" i="1" s="1"/>
  <c r="BB69" i="1"/>
  <c r="BC69" i="1"/>
  <c r="BD69" i="1"/>
  <c r="BE69" i="1"/>
  <c r="AS71" i="1"/>
  <c r="BF71" i="1" s="1"/>
  <c r="BB71" i="1"/>
  <c r="BC71" i="1"/>
  <c r="BD71" i="1"/>
  <c r="BE71" i="1"/>
  <c r="AS73" i="1"/>
  <c r="BF73" i="1" s="1"/>
  <c r="BB73" i="1"/>
  <c r="BC73" i="1"/>
  <c r="BD73" i="1"/>
  <c r="BE73" i="1"/>
  <c r="AS75" i="1"/>
  <c r="BF75" i="1" s="1"/>
  <c r="BB75" i="1"/>
  <c r="BC75" i="1"/>
  <c r="BD75" i="1"/>
  <c r="BE75" i="1"/>
  <c r="AS77" i="1"/>
  <c r="BF77" i="1" s="1"/>
  <c r="BB77" i="1"/>
  <c r="BC77" i="1"/>
  <c r="BD77" i="1"/>
  <c r="BE77" i="1"/>
  <c r="AS79" i="1"/>
  <c r="BF79" i="1" s="1"/>
  <c r="BB79" i="1"/>
  <c r="BC79" i="1"/>
  <c r="BD79" i="1"/>
  <c r="BE79" i="1"/>
  <c r="AS81" i="1"/>
  <c r="BF81" i="1" s="1"/>
  <c r="BB81" i="1"/>
  <c r="BC81" i="1"/>
  <c r="BD81" i="1"/>
  <c r="BE81" i="1"/>
  <c r="AS82" i="1"/>
  <c r="BF82" i="1" s="1"/>
  <c r="AS84" i="1"/>
  <c r="BF84" i="1" s="1"/>
  <c r="BB84" i="1"/>
  <c r="BC84" i="1"/>
  <c r="BD84" i="1"/>
  <c r="BE84" i="1"/>
  <c r="AS86" i="1"/>
  <c r="BF86" i="1" s="1"/>
  <c r="BB86" i="1"/>
  <c r="BC86" i="1"/>
  <c r="BD86" i="1"/>
  <c r="BE86" i="1"/>
  <c r="AS88" i="1"/>
  <c r="BF88" i="1" s="1"/>
  <c r="BB88" i="1"/>
  <c r="BC88" i="1"/>
  <c r="BD88" i="1"/>
  <c r="BE88" i="1"/>
  <c r="AS90" i="1"/>
  <c r="BF90" i="1" s="1"/>
  <c r="BB90" i="1"/>
  <c r="AS92" i="1"/>
  <c r="BF92" i="1" s="1"/>
  <c r="BB92" i="1"/>
  <c r="BC92" i="1"/>
  <c r="BD92" i="1"/>
  <c r="BE92" i="1"/>
  <c r="AS94" i="1"/>
  <c r="BF94" i="1" s="1"/>
  <c r="BB94" i="1"/>
  <c r="BC94" i="1"/>
  <c r="BD94" i="1"/>
  <c r="BE94" i="1"/>
  <c r="AS96" i="1"/>
  <c r="BF96" i="1" s="1"/>
  <c r="BB96" i="1"/>
  <c r="BC96" i="1"/>
  <c r="BD96" i="1"/>
  <c r="BE96" i="1"/>
  <c r="AS98" i="1"/>
  <c r="BF98" i="1" s="1"/>
  <c r="BB98" i="1"/>
  <c r="BC98" i="1"/>
  <c r="CN16" i="1" s="1"/>
  <c r="BD98" i="1"/>
  <c r="BE98" i="1"/>
  <c r="AS102" i="1"/>
  <c r="BF102" i="1" s="1"/>
  <c r="BB102" i="1"/>
  <c r="BC102" i="1"/>
  <c r="BD102" i="1"/>
  <c r="BE102" i="1"/>
  <c r="AS104" i="1"/>
  <c r="BF104" i="1" s="1"/>
  <c r="BB104" i="1"/>
  <c r="BC104" i="1"/>
  <c r="BD104" i="1"/>
  <c r="BE104" i="1"/>
  <c r="AS105" i="1"/>
  <c r="BF105" i="1" s="1"/>
  <c r="AS107" i="1"/>
  <c r="BF107" i="1" s="1"/>
  <c r="BB107" i="1"/>
  <c r="BC107" i="1"/>
  <c r="BD107" i="1"/>
  <c r="BE107" i="1"/>
  <c r="AS109" i="1"/>
  <c r="BF109" i="1" s="1"/>
  <c r="BB109" i="1"/>
  <c r="BC109" i="1"/>
  <c r="BD109" i="1"/>
  <c r="BE109" i="1"/>
  <c r="AS111" i="1"/>
  <c r="BF111" i="1" s="1"/>
  <c r="BB111" i="1"/>
  <c r="AS113" i="1"/>
  <c r="BF113" i="1" s="1"/>
  <c r="BB113" i="1"/>
  <c r="BC113" i="1"/>
  <c r="BD113" i="1"/>
  <c r="BE113" i="1"/>
  <c r="AS114" i="1"/>
  <c r="BF114" i="1" s="1"/>
  <c r="AS116" i="1"/>
  <c r="BB116" i="1"/>
  <c r="BC116" i="1"/>
  <c r="BD116" i="1"/>
  <c r="BE116" i="1"/>
  <c r="AS118" i="1"/>
  <c r="BF118" i="1" s="1"/>
  <c r="BB118" i="1"/>
  <c r="BC118" i="1"/>
  <c r="BD118" i="1"/>
  <c r="BE118" i="1"/>
  <c r="AS120" i="1"/>
  <c r="BF120" i="1" s="1"/>
  <c r="BB120" i="1"/>
  <c r="BC120" i="1"/>
  <c r="BD120" i="1"/>
  <c r="BE120" i="1"/>
  <c r="AS122" i="1"/>
  <c r="BF122" i="1" s="1"/>
  <c r="BB122" i="1"/>
  <c r="BC122" i="1"/>
  <c r="CN19" i="1" s="1"/>
  <c r="BD122" i="1"/>
  <c r="BE122" i="1"/>
  <c r="AS124" i="1"/>
  <c r="BF124" i="1" s="1"/>
  <c r="BB124" i="1"/>
  <c r="BC124" i="1"/>
  <c r="BD124" i="1"/>
  <c r="BE124" i="1"/>
  <c r="AS126" i="1"/>
  <c r="BF126" i="1" s="1"/>
  <c r="BB126" i="1"/>
  <c r="BC126" i="1"/>
  <c r="BD126" i="1"/>
  <c r="BE126" i="1"/>
  <c r="AS128" i="1"/>
  <c r="BF128" i="1" s="1"/>
  <c r="BB128" i="1"/>
  <c r="BC128" i="1"/>
  <c r="BD128" i="1"/>
  <c r="BE128" i="1"/>
  <c r="AS130" i="1"/>
  <c r="BF130" i="1" s="1"/>
  <c r="BB130" i="1"/>
  <c r="BC130" i="1"/>
  <c r="BD130" i="1"/>
  <c r="BE130" i="1"/>
  <c r="AS132" i="1"/>
  <c r="BF132" i="1" s="1"/>
  <c r="BB132" i="1"/>
  <c r="BC132" i="1"/>
  <c r="BD132" i="1"/>
  <c r="BE132" i="1"/>
  <c r="AS134" i="1"/>
  <c r="BF134" i="1" s="1"/>
  <c r="BB134" i="1"/>
  <c r="BC134" i="1"/>
  <c r="BD134" i="1"/>
  <c r="BE134" i="1"/>
  <c r="AS136" i="1"/>
  <c r="BF136" i="1" s="1"/>
  <c r="BB136" i="1"/>
  <c r="BC136" i="1"/>
  <c r="BD136" i="1"/>
  <c r="BE136" i="1"/>
  <c r="AS138" i="1"/>
  <c r="BF138" i="1" s="1"/>
  <c r="BB138" i="1"/>
  <c r="BC138" i="1"/>
  <c r="BD138" i="1"/>
  <c r="BE138" i="1"/>
  <c r="AS140" i="1"/>
  <c r="BF140" i="1" s="1"/>
  <c r="BB140" i="1"/>
  <c r="BC140" i="1"/>
  <c r="BD140" i="1"/>
  <c r="BE140" i="1"/>
  <c r="AS142" i="1"/>
  <c r="BF142" i="1" s="1"/>
  <c r="BB142" i="1"/>
  <c r="BC142" i="1"/>
  <c r="BD142" i="1"/>
  <c r="BE142" i="1"/>
  <c r="AS144" i="1"/>
  <c r="BF144" i="1" s="1"/>
  <c r="BB144" i="1"/>
  <c r="BC144" i="1"/>
  <c r="BD144" i="1"/>
  <c r="BE144" i="1"/>
  <c r="AS145" i="1"/>
  <c r="BF145" i="1"/>
  <c r="AS147" i="1"/>
  <c r="BF147" i="1" s="1"/>
  <c r="BB147" i="1"/>
  <c r="BC147" i="1"/>
  <c r="BD147" i="1"/>
  <c r="BE147" i="1"/>
  <c r="AS149" i="1"/>
  <c r="BF149" i="1" s="1"/>
  <c r="BB149" i="1"/>
  <c r="BC149" i="1"/>
  <c r="BD149" i="1"/>
  <c r="BE149" i="1"/>
  <c r="AS151" i="1"/>
  <c r="BF151" i="1" s="1"/>
  <c r="BB151" i="1"/>
  <c r="BC151" i="1"/>
  <c r="BD151" i="1"/>
  <c r="BE151" i="1"/>
  <c r="AS153" i="1"/>
  <c r="BB153" i="1"/>
  <c r="BF153" i="1"/>
  <c r="AS155" i="1"/>
  <c r="BF155" i="1" s="1"/>
  <c r="BB155" i="1"/>
  <c r="BC155" i="1"/>
  <c r="BD155" i="1"/>
  <c r="BE155" i="1"/>
  <c r="AS157" i="1"/>
  <c r="BF157" i="1" s="1"/>
  <c r="BB157" i="1"/>
  <c r="BC157" i="1"/>
  <c r="BD157" i="1"/>
  <c r="BE157" i="1"/>
  <c r="AS159" i="1"/>
  <c r="BF159" i="1" s="1"/>
  <c r="BB159" i="1"/>
  <c r="BC159" i="1"/>
  <c r="CN20" i="1" s="1"/>
  <c r="BD159" i="1"/>
  <c r="BE159" i="1"/>
  <c r="AS161" i="1"/>
  <c r="BF161" i="1" s="1"/>
  <c r="BB161" i="1"/>
  <c r="BC161" i="1"/>
  <c r="BD161" i="1"/>
  <c r="BE161" i="1"/>
  <c r="AS163" i="1"/>
  <c r="BF163" i="1" s="1"/>
  <c r="BB163" i="1"/>
  <c r="BC163" i="1"/>
  <c r="BD163" i="1"/>
  <c r="BE163" i="1"/>
  <c r="AS167" i="1"/>
  <c r="BF167" i="1" s="1"/>
  <c r="BB167" i="1"/>
  <c r="BC167" i="1"/>
  <c r="BD167" i="1"/>
  <c r="BE167" i="1"/>
  <c r="AS169" i="1"/>
  <c r="BF169" i="1" s="1"/>
  <c r="BB169" i="1"/>
  <c r="BC169" i="1"/>
  <c r="BD169" i="1"/>
  <c r="BE169" i="1"/>
  <c r="AS171" i="1"/>
  <c r="BF171" i="1" s="1"/>
  <c r="BB171" i="1"/>
  <c r="BC171" i="1"/>
  <c r="BD171" i="1"/>
  <c r="BE171" i="1"/>
  <c r="AS173" i="1"/>
  <c r="BF173" i="1" s="1"/>
  <c r="BB173" i="1"/>
  <c r="BC173" i="1"/>
  <c r="BD173" i="1"/>
  <c r="BE173" i="1"/>
  <c r="AS175" i="1"/>
  <c r="BF175" i="1" s="1"/>
  <c r="BB175" i="1"/>
  <c r="BC175" i="1"/>
  <c r="BD175" i="1"/>
  <c r="BE175" i="1"/>
  <c r="AS177" i="1"/>
  <c r="BF177" i="1" s="1"/>
  <c r="BB177" i="1"/>
  <c r="BC177" i="1"/>
  <c r="BD177" i="1"/>
  <c r="BE177" i="1"/>
  <c r="AS179" i="1"/>
  <c r="BF179" i="1" s="1"/>
  <c r="BB179" i="1"/>
  <c r="BC179" i="1"/>
  <c r="BD179" i="1"/>
  <c r="BE179" i="1"/>
  <c r="AS181" i="1"/>
  <c r="BF181" i="1" s="1"/>
  <c r="BB181" i="1"/>
  <c r="AS183" i="1"/>
  <c r="BF183" i="1" s="1"/>
  <c r="BB183" i="1"/>
  <c r="BC183" i="1"/>
  <c r="BD183" i="1"/>
  <c r="BE183" i="1"/>
  <c r="AS185" i="1"/>
  <c r="BF185" i="1" s="1"/>
  <c r="BB185" i="1"/>
  <c r="BC185" i="1"/>
  <c r="BD185" i="1"/>
  <c r="BE185" i="1"/>
  <c r="AS187" i="1"/>
  <c r="BF187" i="1" s="1"/>
  <c r="BB187" i="1"/>
  <c r="BC187" i="1"/>
  <c r="BD187" i="1"/>
  <c r="BE187" i="1"/>
  <c r="AS189" i="1"/>
  <c r="BF189" i="1" s="1"/>
  <c r="BB189" i="1"/>
  <c r="BC189" i="1"/>
  <c r="BD189" i="1"/>
  <c r="BE189" i="1"/>
  <c r="AS191" i="1"/>
  <c r="BF191" i="1" s="1"/>
  <c r="BB191" i="1"/>
  <c r="BC191" i="1"/>
  <c r="BD191" i="1"/>
  <c r="BE191" i="1"/>
  <c r="AS192" i="1"/>
  <c r="BF192" i="1" s="1"/>
  <c r="BB192" i="1"/>
  <c r="BC192" i="1"/>
  <c r="BD192" i="1"/>
  <c r="BE192" i="1"/>
  <c r="AS194" i="1"/>
  <c r="BF194" i="1" s="1"/>
  <c r="BB194" i="1"/>
  <c r="BC194" i="1"/>
  <c r="BD194" i="1"/>
  <c r="BE194" i="1"/>
  <c r="AS195" i="1"/>
  <c r="BF195" i="1" s="1"/>
  <c r="BB195" i="1"/>
  <c r="BC195" i="1"/>
  <c r="BD195" i="1"/>
  <c r="BE195" i="1"/>
  <c r="CI20" i="1" l="1"/>
  <c r="BS23" i="1"/>
  <c r="BS14" i="1"/>
  <c r="CG24" i="1"/>
  <c r="CA23" i="1"/>
  <c r="BY20" i="1"/>
  <c r="BR32" i="1"/>
  <c r="BY21" i="1"/>
  <c r="BS17" i="1"/>
  <c r="CA25" i="1"/>
  <c r="CI25" i="1"/>
  <c r="BS25" i="1"/>
  <c r="CN27" i="1"/>
  <c r="CB25" i="1"/>
  <c r="CA15" i="1"/>
  <c r="CA21" i="1"/>
  <c r="BY19" i="1"/>
  <c r="CC17" i="1"/>
  <c r="BP20" i="1" a="1"/>
  <c r="BP20" i="1" s="1"/>
  <c r="BS24" i="1"/>
  <c r="CG20" i="1"/>
  <c r="CN17" i="1"/>
  <c r="CG16" i="1"/>
  <c r="BP19" i="1" a="1"/>
  <c r="BP19" i="1" s="1"/>
  <c r="BS27" i="1"/>
  <c r="BP45" i="1" s="1"/>
  <c r="CM17" i="1"/>
  <c r="CA16" i="1"/>
  <c r="BY15" i="1"/>
  <c r="CE15" i="1" s="1"/>
  <c r="BQ34" i="1"/>
  <c r="CH20" i="1"/>
  <c r="CL14" i="1"/>
  <c r="AV209" i="1"/>
  <c r="AX209" i="1" s="1"/>
  <c r="AV208" i="1"/>
  <c r="AX208" i="1" s="1"/>
  <c r="BQ32" i="1"/>
  <c r="BY17" i="1"/>
  <c r="CB21" i="1"/>
  <c r="CL17" i="1"/>
  <c r="BR30" i="1"/>
  <c r="BR31" i="1" s="1"/>
  <c r="CA19" i="1"/>
  <c r="CH15" i="1"/>
  <c r="BX21" i="1"/>
  <c r="BX25" i="1"/>
  <c r="BX15" i="1"/>
  <c r="CA14" i="1"/>
  <c r="CM14" i="1"/>
  <c r="CN21" i="1"/>
  <c r="BP14" i="1" a="1"/>
  <c r="BP14" i="1" s="1"/>
  <c r="CB27" i="1"/>
  <c r="CD27" i="1" s="1"/>
  <c r="BP44" i="1"/>
  <c r="CN14" i="1"/>
  <c r="CH16" i="1"/>
  <c r="CG17" i="1"/>
  <c r="BS19" i="1"/>
  <c r="BX23" i="1"/>
  <c r="BW16" i="1"/>
  <c r="BW14" i="1"/>
  <c r="BY25" i="1"/>
  <c r="BP32" i="1"/>
  <c r="BS32" i="1" s="1"/>
  <c r="BS15" i="1"/>
  <c r="CB17" i="1"/>
  <c r="BS20" i="1"/>
  <c r="CC25" i="1"/>
  <c r="CD25" i="1" s="1"/>
  <c r="CG14" i="1"/>
  <c r="CL21" i="1"/>
  <c r="BX20" i="1"/>
  <c r="CE20" i="1"/>
  <c r="CH24" i="1"/>
  <c r="BY23" i="1"/>
  <c r="CA27" i="1"/>
  <c r="BP47" i="1" s="1"/>
  <c r="CA20" i="1"/>
  <c r="BS16" i="1"/>
  <c r="CI16" i="1"/>
  <c r="CI21" i="1"/>
  <c r="BQ30" i="1"/>
  <c r="BQ31" i="1" s="1"/>
  <c r="CM21" i="1"/>
  <c r="CE19" i="1"/>
  <c r="BP16" i="1" a="1"/>
  <c r="BP16" i="1" s="1"/>
  <c r="BX19" i="1"/>
  <c r="CC21" i="1"/>
  <c r="BW24" i="1"/>
  <c r="CC27" i="1"/>
  <c r="CG15" i="1"/>
  <c r="CG19" i="1"/>
  <c r="CG27" i="1"/>
  <c r="CL16" i="1"/>
  <c r="CL20" i="1"/>
  <c r="CL24" i="1"/>
  <c r="BY16" i="1"/>
  <c r="BX17" i="1"/>
  <c r="BY27" i="1"/>
  <c r="CG21" i="1"/>
  <c r="BF20" i="1"/>
  <c r="BX14" i="1"/>
  <c r="BS21" i="1"/>
  <c r="BF15" i="1"/>
  <c r="BW15" i="1"/>
  <c r="BX24" i="1"/>
  <c r="CM16" i="1"/>
  <c r="CM20" i="1"/>
  <c r="CM24" i="1"/>
  <c r="BW27" i="1"/>
  <c r="CI24" i="1"/>
  <c r="BY14" i="1"/>
  <c r="BW25" i="1"/>
  <c r="BW20" i="1"/>
  <c r="BY24" i="1"/>
  <c r="CI15" i="1"/>
  <c r="CI19" i="1"/>
  <c r="CI27" i="1"/>
  <c r="CN24" i="1"/>
  <c r="BP15" i="1" a="1"/>
  <c r="BP15" i="1" s="1"/>
  <c r="CG25" i="1"/>
  <c r="CL19" i="1"/>
  <c r="CA17" i="1"/>
  <c r="BF116" i="1"/>
  <c r="BW19" i="1"/>
  <c r="CH19" i="1"/>
  <c r="CH27" i="1"/>
  <c r="BW21" i="1"/>
  <c r="BP30" i="1"/>
  <c r="BP33" i="1" s="1"/>
  <c r="BP43" i="1"/>
  <c r="AV206" i="1"/>
  <c r="AX206" i="1" s="1"/>
  <c r="BP23" i="1" a="1"/>
  <c r="BP23" i="1" s="1"/>
  <c r="CA24" i="1"/>
  <c r="CL25" i="1"/>
  <c r="CM25" i="1"/>
  <c r="AV207" i="1"/>
  <c r="AX207" i="1" s="1"/>
  <c r="CN25" i="1"/>
  <c r="BP24" i="1" a="1"/>
  <c r="BP24" i="1" s="1"/>
  <c r="BX27" i="1"/>
  <c r="BP34" i="1"/>
  <c r="BR34" i="1"/>
  <c r="BR35" i="1" s="1"/>
  <c r="BW17" i="1"/>
  <c r="CL27" i="1"/>
  <c r="BX16" i="1"/>
  <c r="CM27" i="1"/>
  <c r="BW23" i="1"/>
  <c r="CH14" i="1"/>
  <c r="CH17" i="1"/>
  <c r="CH21" i="1"/>
  <c r="CH25" i="1"/>
  <c r="CM19" i="1"/>
  <c r="CI14" i="1"/>
  <c r="CI17" i="1"/>
  <c r="CD21" i="1" l="1"/>
  <c r="CE21" i="1" s="1"/>
  <c r="BZ25" i="1"/>
  <c r="CD17" i="1"/>
  <c r="CE17" i="1" s="1"/>
  <c r="CE27" i="1"/>
  <c r="BR33" i="1"/>
  <c r="BZ20" i="1"/>
  <c r="BZ21" i="1"/>
  <c r="BZ17" i="1"/>
  <c r="BQ35" i="1"/>
  <c r="CE25" i="1"/>
  <c r="BZ19" i="1"/>
  <c r="BP17" i="1"/>
  <c r="BP21" i="1"/>
  <c r="BZ15" i="1"/>
  <c r="BZ24" i="1"/>
  <c r="BZ23" i="1"/>
  <c r="BQ33" i="1"/>
  <c r="CE23" i="1"/>
  <c r="CE14" i="1"/>
  <c r="BZ14" i="1"/>
  <c r="BP35" i="1"/>
  <c r="BS34" i="1"/>
  <c r="BZ27" i="1"/>
  <c r="BP46" i="1"/>
  <c r="BZ16" i="1"/>
  <c r="CE24" i="1"/>
  <c r="BP25" i="1"/>
  <c r="BP27" i="1" s="1"/>
  <c r="BS30" i="1"/>
  <c r="BS31" i="1" s="1"/>
  <c r="BP31" i="1"/>
  <c r="CE16" i="1"/>
  <c r="BS33" i="1" l="1"/>
  <c r="BS35" i="1"/>
</calcChain>
</file>

<file path=xl/sharedStrings.xml><?xml version="1.0" encoding="utf-8"?>
<sst xmlns="http://schemas.openxmlformats.org/spreadsheetml/2006/main" count="866" uniqueCount="309">
  <si>
    <t>OneSite Senior Living</t>
  </si>
  <si>
    <t>Rent Roll Detail Report</t>
  </si>
  <si>
    <t>Community: Aster Ridge Senior Living (DEMO)</t>
  </si>
  <si>
    <t>Report Date: 06/30/2026</t>
  </si>
  <si>
    <t>SYNTHETIC DEMO DATA -- NOT A REAL COMMUNITY. All figures fabricated for demonstration/testing purposes only.</t>
  </si>
  <si>
    <t>Unit</t>
  </si>
  <si>
    <t>Floor Plan - SQ FT</t>
  </si>
  <si>
    <t>Resident</t>
  </si>
  <si>
    <t>Move-In</t>
  </si>
  <si>
    <t>Moved Onto Property</t>
  </si>
  <si>
    <t>Market Rent</t>
  </si>
  <si>
    <t>Actual Rent</t>
  </si>
  <si>
    <t>Var to Market</t>
  </si>
  <si>
    <t>Vacancy Var</t>
  </si>
  <si>
    <t>Total Var</t>
  </si>
  <si>
    <t>2nd Occupant Fee</t>
  </si>
  <si>
    <t>Care Fees</t>
  </si>
  <si>
    <t>Other Fees</t>
  </si>
  <si>
    <t>Credits</t>
  </si>
  <si>
    <t>TOTAL</t>
  </si>
  <si>
    <t>Independent Living</t>
  </si>
  <si>
    <t>Studio - 420</t>
  </si>
  <si>
    <t>Resident 001</t>
  </si>
  <si>
    <t>Resident 002</t>
  </si>
  <si>
    <t>101 TOTAL</t>
  </si>
  <si>
    <t>Resident 003</t>
  </si>
  <si>
    <t>102 TOTAL</t>
  </si>
  <si>
    <t>Resident 004</t>
  </si>
  <si>
    <t>Resident 005</t>
  </si>
  <si>
    <t>103 TOTAL</t>
  </si>
  <si>
    <t>Vacant</t>
  </si>
  <si>
    <t>104 TOTAL</t>
  </si>
  <si>
    <t>Resident 006</t>
  </si>
  <si>
    <t>105 TOTAL</t>
  </si>
  <si>
    <t>Resident 007</t>
  </si>
  <si>
    <t>106 TOTAL</t>
  </si>
  <si>
    <t>Resident 008</t>
  </si>
  <si>
    <t>107 TOTAL</t>
  </si>
  <si>
    <t>Resident 009</t>
  </si>
  <si>
    <t>108 TOTAL</t>
  </si>
  <si>
    <t>One Bedroom - 610</t>
  </si>
  <si>
    <t>Resident 010</t>
  </si>
  <si>
    <t>109 TOTAL</t>
  </si>
  <si>
    <t>Resident 011</t>
  </si>
  <si>
    <t>Resident 012</t>
  </si>
  <si>
    <t>110 TOTAL</t>
  </si>
  <si>
    <t>Resident 013</t>
  </si>
  <si>
    <t>111 TOTAL</t>
  </si>
  <si>
    <t>Resident 014</t>
  </si>
  <si>
    <t>112 TOTAL</t>
  </si>
  <si>
    <t>Resident 015</t>
  </si>
  <si>
    <t>113 TOTAL</t>
  </si>
  <si>
    <t>Resident 016</t>
  </si>
  <si>
    <t>114 TOTAL</t>
  </si>
  <si>
    <t>Resident 017</t>
  </si>
  <si>
    <t>115 TOTAL</t>
  </si>
  <si>
    <t>Resident 018</t>
  </si>
  <si>
    <t>116 TOTAL</t>
  </si>
  <si>
    <t>Resident 019</t>
  </si>
  <si>
    <t>117 TOTAL</t>
  </si>
  <si>
    <t>Resident 020</t>
  </si>
  <si>
    <t>118 TOTAL</t>
  </si>
  <si>
    <t>119 TOTAL</t>
  </si>
  <si>
    <t>Resident 021</t>
  </si>
  <si>
    <t>120 TOTAL</t>
  </si>
  <si>
    <t>Resident 022</t>
  </si>
  <si>
    <t>121 TOTAL</t>
  </si>
  <si>
    <t>Resident 023</t>
  </si>
  <si>
    <t>Resident 024</t>
  </si>
  <si>
    <t>122 TOTAL</t>
  </si>
  <si>
    <t>Resident 025</t>
  </si>
  <si>
    <t>123 TOTAL</t>
  </si>
  <si>
    <t>Resident 026</t>
  </si>
  <si>
    <t>124 TOTAL</t>
  </si>
  <si>
    <t>Resident 027</t>
  </si>
  <si>
    <t>125 TOTAL</t>
  </si>
  <si>
    <t>Resident 028</t>
  </si>
  <si>
    <t>126 TOTAL</t>
  </si>
  <si>
    <t>Resident 029</t>
  </si>
  <si>
    <t>127 TOTAL</t>
  </si>
  <si>
    <t>Resident 030</t>
  </si>
  <si>
    <t>128 TOTAL</t>
  </si>
  <si>
    <t>Resident 031</t>
  </si>
  <si>
    <t>129 TOTAL</t>
  </si>
  <si>
    <t>Resident 032</t>
  </si>
  <si>
    <t>130 TOTAL</t>
  </si>
  <si>
    <t>Two Bedroom - 850</t>
  </si>
  <si>
    <t>Resident 033</t>
  </si>
  <si>
    <t>131 TOTAL</t>
  </si>
  <si>
    <t>Resident 034</t>
  </si>
  <si>
    <t>Resident 035</t>
  </si>
  <si>
    <t>132 TOTAL</t>
  </si>
  <si>
    <t>Resident 036</t>
  </si>
  <si>
    <t>133 TOTAL</t>
  </si>
  <si>
    <t>Resident 037</t>
  </si>
  <si>
    <t>134 TOTAL</t>
  </si>
  <si>
    <t>Resident 038</t>
  </si>
  <si>
    <t>135 TOTAL</t>
  </si>
  <si>
    <t>136 TOTAL</t>
  </si>
  <si>
    <t>Resident 039</t>
  </si>
  <si>
    <t>137 TOTAL</t>
  </si>
  <si>
    <t>Resident 040</t>
  </si>
  <si>
    <t>138 TOTAL</t>
  </si>
  <si>
    <t>Resident 041</t>
  </si>
  <si>
    <t>139 TOTAL</t>
  </si>
  <si>
    <t>Resident 042</t>
  </si>
  <si>
    <t>140 TOTAL</t>
  </si>
  <si>
    <t>TOTAL Independent Living</t>
  </si>
  <si>
    <t>Assisted Living</t>
  </si>
  <si>
    <t>Studio - 380</t>
  </si>
  <si>
    <t>Resident 043</t>
  </si>
  <si>
    <t>201 TOTAL</t>
  </si>
  <si>
    <t>Resident 044</t>
  </si>
  <si>
    <t>Resident 045</t>
  </si>
  <si>
    <t>202 TOTAL</t>
  </si>
  <si>
    <t>Resident 046</t>
  </si>
  <si>
    <t>203 TOTAL</t>
  </si>
  <si>
    <t>Resident 047</t>
  </si>
  <si>
    <t>204 TOTAL</t>
  </si>
  <si>
    <t>205 TOTAL</t>
  </si>
  <si>
    <t>Resident 048</t>
  </si>
  <si>
    <t>Resident 049</t>
  </si>
  <si>
    <t>206 TOTAL</t>
  </si>
  <si>
    <t>Resident 050</t>
  </si>
  <si>
    <t>207 TOTAL</t>
  </si>
  <si>
    <t>Resident 051</t>
  </si>
  <si>
    <t>208 TOTAL</t>
  </si>
  <si>
    <t>Resident 052</t>
  </si>
  <si>
    <t>209 TOTAL</t>
  </si>
  <si>
    <t>Resident 053</t>
  </si>
  <si>
    <t>210 TOTAL</t>
  </si>
  <si>
    <t>Resident 054</t>
  </si>
  <si>
    <t>211 TOTAL</t>
  </si>
  <si>
    <t>Resident 055</t>
  </si>
  <si>
    <t>212 TOTAL</t>
  </si>
  <si>
    <t>Resident 056</t>
  </si>
  <si>
    <t>213 TOTAL</t>
  </si>
  <si>
    <t>Resident 057</t>
  </si>
  <si>
    <t>214 TOTAL</t>
  </si>
  <si>
    <t>Resident 058</t>
  </si>
  <si>
    <t>215 TOTAL</t>
  </si>
  <si>
    <t>Resident 059</t>
  </si>
  <si>
    <t>216 TOTAL</t>
  </si>
  <si>
    <t>Resident 060</t>
  </si>
  <si>
    <t>217 TOTAL</t>
  </si>
  <si>
    <t>Resident 061</t>
  </si>
  <si>
    <t>218 TOTAL</t>
  </si>
  <si>
    <t>One Bedroom - 540</t>
  </si>
  <si>
    <t>Resident 062</t>
  </si>
  <si>
    <t>219 TOTAL</t>
  </si>
  <si>
    <t>Resident 063</t>
  </si>
  <si>
    <t>220 TOTAL</t>
  </si>
  <si>
    <t>Resident 064</t>
  </si>
  <si>
    <t>Resident 065</t>
  </si>
  <si>
    <t>221 TOTAL</t>
  </si>
  <si>
    <t>Resident 066</t>
  </si>
  <si>
    <t>222 TOTAL</t>
  </si>
  <si>
    <t>Resident 067</t>
  </si>
  <si>
    <t>223 TOTAL</t>
  </si>
  <si>
    <t>Resident 068</t>
  </si>
  <si>
    <t>224 TOTAL</t>
  </si>
  <si>
    <t>225 TOTAL</t>
  </si>
  <si>
    <t>Resident 069</t>
  </si>
  <si>
    <t>226 TOTAL</t>
  </si>
  <si>
    <t>Resident 070</t>
  </si>
  <si>
    <t>227 TOTAL</t>
  </si>
  <si>
    <t>Resident 071</t>
  </si>
  <si>
    <t>228 TOTAL</t>
  </si>
  <si>
    <t>Resident 072</t>
  </si>
  <si>
    <t>229 TOTAL</t>
  </si>
  <si>
    <t>Resident 073</t>
  </si>
  <si>
    <t>230 TOTAL</t>
  </si>
  <si>
    <t>TOTAL Assisted Living</t>
  </si>
  <si>
    <t>Memory Care</t>
  </si>
  <si>
    <t>Private - 320</t>
  </si>
  <si>
    <t>Resident 074</t>
  </si>
  <si>
    <t>301 TOTAL</t>
  </si>
  <si>
    <t>Resident 075</t>
  </si>
  <si>
    <t>302 TOTAL</t>
  </si>
  <si>
    <t>Resident 076</t>
  </si>
  <si>
    <t>303 TOTAL</t>
  </si>
  <si>
    <t>Resident 077</t>
  </si>
  <si>
    <t>304 TOTAL</t>
  </si>
  <si>
    <t>Resident 078</t>
  </si>
  <si>
    <t>305 TOTAL</t>
  </si>
  <si>
    <t>Resident 079</t>
  </si>
  <si>
    <t>306 TOTAL</t>
  </si>
  <si>
    <t>Resident 080</t>
  </si>
  <si>
    <t>307 TOTAL</t>
  </si>
  <si>
    <t>308 TOTAL</t>
  </si>
  <si>
    <t>Resident 081</t>
  </si>
  <si>
    <t>309 TOTAL</t>
  </si>
  <si>
    <t>Resident 082</t>
  </si>
  <si>
    <t>310 TOTAL</t>
  </si>
  <si>
    <t>Resident 083</t>
  </si>
  <si>
    <t>311 TOTAL</t>
  </si>
  <si>
    <t>Resident 084</t>
  </si>
  <si>
    <t>312 TOTAL</t>
  </si>
  <si>
    <t>Semi-Private - 400</t>
  </si>
  <si>
    <t>Resident 085</t>
  </si>
  <si>
    <t>Resident 086</t>
  </si>
  <si>
    <t>313 TOTAL</t>
  </si>
  <si>
    <t>Resident 087</t>
  </si>
  <si>
    <t>Resident 088</t>
  </si>
  <si>
    <t>314 TOTAL</t>
  </si>
  <si>
    <t>TOTAL Memory Care</t>
  </si>
  <si>
    <t>TOTAL Aster Ridge Senior Living</t>
  </si>
  <si>
    <t>Studio</t>
  </si>
  <si>
    <t>P</t>
  </si>
  <si>
    <t>IL</t>
  </si>
  <si>
    <t>IL - Studio (420 SF)</t>
  </si>
  <si>
    <t>IL | Studio | A</t>
  </si>
  <si>
    <t>S</t>
  </si>
  <si>
    <t>One Bedroom</t>
  </si>
  <si>
    <t>IL - 1BR (610 SF)</t>
  </si>
  <si>
    <t>IL | 1BR | A</t>
  </si>
  <si>
    <t>Two Bedroom</t>
  </si>
  <si>
    <t>IL - 2BR (850 SF)</t>
  </si>
  <si>
    <t>IL | 2BR | A</t>
  </si>
  <si>
    <t>AL</t>
  </si>
  <si>
    <t>AL - Studio (380 SF)</t>
  </si>
  <si>
    <t>AL | Studio | A</t>
  </si>
  <si>
    <t>AL - 1BR (540 SF)</t>
  </si>
  <si>
    <t>AL | 1BR | A</t>
  </si>
  <si>
    <t>Private</t>
  </si>
  <si>
    <t>MC</t>
  </si>
  <si>
    <t>MC - Private</t>
  </si>
  <si>
    <t>MC | Private</t>
  </si>
  <si>
    <t>Semi-Private</t>
  </si>
  <si>
    <t>MC - Semi-Private</t>
  </si>
  <si>
    <t>MC | Semi-Private</t>
  </si>
  <si>
    <t>Order</t>
  </si>
  <si>
    <t>Unit Type</t>
  </si>
  <si>
    <t>P/SP</t>
  </si>
  <si>
    <t>Care Type</t>
  </si>
  <si>
    <t>SqFt</t>
  </si>
  <si>
    <t>Resident Type</t>
  </si>
  <si>
    <t>Capacity</t>
  </si>
  <si>
    <t>Occupancy</t>
  </si>
  <si>
    <t>Move in Date</t>
  </si>
  <si>
    <t>In-Place Rent</t>
  </si>
  <si>
    <t>In-Place Care</t>
  </si>
  <si>
    <t>2nd Resident</t>
  </si>
  <si>
    <t>Unit Code</t>
  </si>
  <si>
    <t>Basic Unit Code</t>
  </si>
  <si>
    <t>Group Unit Code</t>
  </si>
  <si>
    <t>Unit Sqft</t>
  </si>
  <si>
    <t>Count</t>
  </si>
  <si>
    <t>#Apts</t>
  </si>
  <si>
    <t>#Units</t>
  </si>
  <si>
    <t>Occ Units</t>
  </si>
  <si>
    <t>Occ %</t>
  </si>
  <si>
    <t>Min SqFt</t>
  </si>
  <si>
    <t>Avg SqFt</t>
  </si>
  <si>
    <t>Max SqFt</t>
  </si>
  <si>
    <t>Market (All)</t>
  </si>
  <si>
    <t>Market (Occ)</t>
  </si>
  <si>
    <t>In-Place (Occ)</t>
  </si>
  <si>
    <t>(Discount)</t>
  </si>
  <si>
    <t>Care</t>
  </si>
  <si>
    <t>NMI Rent</t>
  </si>
  <si>
    <t>Care Adj</t>
  </si>
  <si>
    <t>Net NMI Rent</t>
  </si>
  <si>
    <t>NMI vs In Place</t>
  </si>
  <si>
    <t>Total IL</t>
  </si>
  <si>
    <t>Total AL</t>
  </si>
  <si>
    <t>Total MC</t>
  </si>
  <si>
    <t>Total</t>
  </si>
  <si>
    <t>Second Residents</t>
  </si>
  <si>
    <t># 2nd Residents</t>
  </si>
  <si>
    <t>Utilization</t>
  </si>
  <si>
    <t>Rent</t>
  </si>
  <si>
    <t>Rent / 2nd resident</t>
  </si>
  <si>
    <t>Care / 2nd resident</t>
  </si>
  <si>
    <t>Rent Adjustments</t>
  </si>
  <si>
    <t>IL Rent Adj</t>
  </si>
  <si>
    <t>AL Rent Adj</t>
  </si>
  <si>
    <t>MC Rent Adj</t>
  </si>
  <si>
    <t>Check</t>
  </si>
  <si>
    <t>Units/Apartments</t>
  </si>
  <si>
    <t>Occupied Units</t>
  </si>
  <si>
    <t>Occupied %</t>
  </si>
  <si>
    <t>Days in period (proration)</t>
  </si>
  <si>
    <t>N/A - no de-proration (see Notes)</t>
  </si>
  <si>
    <t>Min Rent</t>
  </si>
  <si>
    <t>Avg Rent</t>
  </si>
  <si>
    <t>Max Rent</t>
  </si>
  <si>
    <t>#</t>
  </si>
  <si>
    <t>Notes</t>
  </si>
  <si>
    <t>1. SYNTHETIC DEMO DATA: Aster Ridge is a fully fictional community built to exercise the .RR pipeline; every unit, resident and dollar figure is fabricated (raw export row 5 carries the same disclaimer). No broker/operator follow-up applies.</t>
  </si>
  <si>
    <t>2. Two MC Semi-Private apartments (313, 314; rows 191-192 and 194-195) are TRUE companion rooms - both beds carry full independent Market/Actual/Care charges (not a 2nd-occupant fee-fold like the IL/AL couples). The raw export's second bed is a blank-Unit-code continuation line (OneSite prints the door number only on the first bed's row), so the build's copy of the source (not the operator original) had Unit column A pre-filled on rows 192 -&gt; "313" and 195 -&gt; "314" - mirroring the primary bed's own door number - purely so the #Apts dedup formula can recognize both beds as one door. No dollar figure was touched; this is documented here for full transparency. PROPOSED - confirm acceptable.</t>
  </si>
  <si>
    <t>3. MC occupancy has two valid readings that intentionally disagree: bed-based Occupied Units (the engine's native, rule-1 unit=bed=contract metric) = 15 of 16 beds (12 Private beds, 1 vacant at unit 308, + 4 Semi-Private beds, all occupied). Apartment/door-based occupancy (matching the fabricator-verified 'MC 13' figure) = 13 of 14 doors (11 occupied Private doors + 2 fully-occupied Semi-Private doors). Both are internally consistent; the summary's native Occ Units column reports the bed figure (15) per the skill's standard contract, and this note exists so the 13-vs-15 gap is never mistaken for an error.</t>
  </si>
  <si>
    <t>4. Tiering (rule 9, two-pass method): every IL/AL unit type in this rent roll has exactly ONE distinct SqFt (Studio-420/610-1BR/850-2BR for IL; Studio-380/540-1BR for AL) - there is no SqFt spread to cluster, so each type collapses to a single tier 'A' with no B/C. PROPOSED - trivial by construction, but flagged per rule 9 for underwriter confirmation rather than silently assumed.</t>
  </si>
  <si>
    <t>6. AL care charges (Level 1 $595 / Level 2 $1,095 / Level 3 $1,595) and MC flat care ($1,200/resident) are read directly from the raw Care Fees column (AI) per resident - no derivation needed, the operator export already carries the dollar amount.</t>
  </si>
  <si>
    <t>7. No turnovers, no Inactive-Down units, and no Actual-above-Market lines were found anywhere in the export (scanned all 84 apartments / 94 detail lines) - a clean data set as expected for a fabricated demo file.</t>
  </si>
  <si>
    <t>8. NMI Rent (blue, engine-proposed per rule 18) is auto-computed by the engine at ~4.5% above each tier's In-Place (Occ), rounded to end in 95 - underwriter may override per tier.</t>
  </si>
  <si>
    <t>RECONCILIATION (sum of own leaves vs operator section totals)</t>
  </si>
  <si>
    <t>Built</t>
  </si>
  <si>
    <t>op total</t>
  </si>
  <si>
    <t>Diff</t>
  </si>
  <si>
    <t>Units (rows)</t>
  </si>
  <si>
    <t>Occupied</t>
  </si>
  <si>
    <t>Capacity (beds)</t>
  </si>
  <si>
    <t>Sum Market</t>
  </si>
  <si>
    <t>Sum In-Place Rent</t>
  </si>
  <si>
    <t>Sum In-Place Care</t>
  </si>
  <si>
    <t>Sum 2nd-Occ Fee</t>
  </si>
  <si>
    <t>5. De-proration (rule 11) is OFF for this export: recent move-ins dated mid-month (e.g. unit 106 IL, moved in 4/8/2026; unit 302 MC, moved in 6/12/2026) already post the FULL un-prorated Actual Rent in the raw Actual column, exactly like the prior OneSite-family precedent - grossing them up again would double-count. Verified: raw AQ198 grand TOTAL = $424,675.00 (= sum of raw Actual Rent + Care Fees + 2nd-Occupant Fee across all leaf lines) ties exactly to Built In-Place Rent + Built In-Place Care + Built 2nd-Occ Fee with deprorate=false, confirming no adjustment is needed.</t>
  </si>
  <si>
    <t>9. ENGINE GAP (flagged for maintainers, not a deal-specific judgment call): the raw OneSite export is legacy .xls (BIFF) format; Invoke-RRBuild's Copy-Item step preserves file bytes verbatim but names the building-marker file .xlsx (per rule 21), and Excel COM refuses to Open a byte-for-byte .xls file under a .xlsx name ('file format or file extension is not valid'). Worked around outside the engine: the .xls source was pre-converted to true .xlsx format in %TEMP% (SaveAs, non-OneDrive path, hook-compliant) before being handed to Invoke-RRBuild as sourcePath - no dollar values touched, only the container format. Every prior proven OneSite source (the two prior OneSite-family communities) is also .xls, so this will recur on the next raw .xls deal; RR-Build-Lib.ps1 was not modified for this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</si>
</sst>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1" formatCode="_(* #,##0_);_(* \(#,##0\);_(* &quot;-&quot;_);_(@_)"/>
    <numFmt numFmtId="164" formatCode="_(#,##0.0%_);\(#,##0.0%\);_(&quot;–&quot;_)_%;_(@_)_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rgb="FF0000FF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rgb="FF0000E1"/>
      <name val="Aptos Narrow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9284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wrapText="1"/>
    </xf>
    <xf numFmtId="3" fontId="0" fillId="0" borderId="0" xfId="0" applyNumberFormat="1"/>
    <xf numFmtId="1" fontId="0" fillId="0" borderId="0" xfId="0" applyNumberFormat="1"/>
    <xf numFmtId="0" fontId="5" fillId="0" borderId="0" xfId="0" applyFont="1"/>
    <xf numFmtId="3" fontId="5" fillId="0" borderId="0" xfId="0" applyNumberFormat="1" applyFont="1"/>
    <xf numFmtId="1" fontId="5" fillId="0" borderId="0" xfId="0" applyNumberFormat="1" applyFont="1"/>
    <xf numFmtId="14" fontId="5" fillId="0" borderId="0" xfId="0" applyNumberFormat="1" applyFont="1"/>
    <xf numFmtId="5" fontId="5" fillId="0" borderId="0" xfId="0" applyNumberFormat="1" applyFont="1"/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left" wrapText="1"/>
    </xf>
    <xf numFmtId="41" fontId="0" fillId="0" borderId="0" xfId="0" applyNumberFormat="1"/>
    <xf numFmtId="164" fontId="0" fillId="0" borderId="0" xfId="0" applyNumberFormat="1"/>
    <xf numFmtId="0" fontId="1" fillId="0" borderId="1" xfId="0" applyFont="1" applyBorder="1"/>
    <xf numFmtId="41" fontId="1" fillId="0" borderId="1" xfId="0" applyNumberFormat="1" applyFont="1" applyBorder="1"/>
    <xf numFmtId="164" fontId="1" fillId="0" borderId="1" xfId="0" applyNumberFormat="1" applyFont="1" applyBorder="1"/>
    <xf numFmtId="41" fontId="7" fillId="0" borderId="0" xfId="0" applyNumberFormat="1" applyFont="1"/>
    <xf numFmtId="0" fontId="8" fillId="4" borderId="0" xfId="0" applyFont="1" applyFill="1"/>
    <xf numFmtId="0" fontId="8" fillId="4" borderId="0" xfId="0" applyFont="1" applyFill="1" applyAlignment="1">
      <alignment horizontal="left"/>
    </xf>
    <xf numFmtId="41" fontId="9" fillId="0" borderId="0" xfId="0" applyNumberFormat="1" applyFont="1"/>
    <xf numFmtId="0" fontId="3" fillId="0" borderId="0" xfId="0" applyFont="1"/>
    <xf numFmtId="41" fontId="3" fillId="0" borderId="0" xfId="0" applyNumberFormat="1" applyFont="1"/>
    <xf numFmtId="164" fontId="3" fillId="0" borderId="0" xfId="0" applyNumberFormat="1" applyFont="1"/>
    <xf numFmtId="0" fontId="10" fillId="4" borderId="0" xfId="0" applyFont="1" applyFill="1"/>
    <xf numFmtId="0" fontId="10" fillId="4" borderId="0" xfId="0" applyFont="1" applyFill="1" applyAlignment="1">
      <alignment horizontal="left"/>
    </xf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0090-9744-4F89-BC32-2B95B03EC372}">
  <dimension ref="A1:CO209"/>
  <sheetViews>
    <sheetView showGridLines="0" tabSelected="1" workbookViewId="0"/>
  </sheetViews>
  <sheetFormatPr defaultRowHeight="15" x14ac:dyDescent="0.25"/>
  <cols>
    <col min="5" max="5" width="20.7109375" customWidth="1"/>
    <col min="9" max="9" width="22.7109375" customWidth="1"/>
    <col min="44" max="44" width="8.5703125" customWidth="1"/>
    <col min="45" max="45" width="11.7109375" customWidth="1"/>
    <col min="46" max="46" width="11.85546875" customWidth="1"/>
    <col min="47" max="47" width="13.42578125" customWidth="1"/>
    <col min="48" max="48" width="14.7109375" customWidth="1"/>
    <col min="49" max="49" width="10.28515625" customWidth="1"/>
    <col min="50" max="50" width="18.28515625" customWidth="1"/>
    <col min="51" max="51" width="13.5703125" customWidth="1"/>
    <col min="52" max="52" width="15.42578125" customWidth="1"/>
    <col min="53" max="53" width="17.85546875" customWidth="1"/>
    <col min="54" max="54" width="17" customWidth="1"/>
    <col min="55" max="55" width="17.42578125" customWidth="1"/>
    <col min="56" max="57" width="17.28515625" customWidth="1"/>
    <col min="58" max="58" width="32.28515625" customWidth="1"/>
    <col min="59" max="61" width="20.42578125" customWidth="1"/>
    <col min="62" max="62" width="0" hidden="1" customWidth="1"/>
    <col min="63" max="65" width="20.42578125" customWidth="1"/>
    <col min="66" max="66" width="8.85546875" customWidth="1"/>
    <col min="67" max="67" width="23.85546875" customWidth="1"/>
    <col min="68" max="68" width="9.5703125" customWidth="1"/>
    <col min="69" max="69" width="7.7109375" customWidth="1"/>
    <col min="70" max="70" width="9.28515625" customWidth="1"/>
    <col min="71" max="71" width="8.5703125" customWidth="1"/>
    <col min="72" max="74" width="7" customWidth="1"/>
    <col min="75" max="75" width="11.7109375" customWidth="1"/>
    <col min="76" max="76" width="12.42578125" customWidth="1"/>
    <col min="77" max="77" width="13.28515625" customWidth="1"/>
    <col min="78" max="78" width="10.140625" customWidth="1"/>
    <col min="79" max="79" width="7" customWidth="1"/>
    <col min="80" max="80" width="9.42578125" customWidth="1"/>
    <col min="81" max="81" width="8.42578125" customWidth="1"/>
    <col min="82" max="82" width="13.28515625" customWidth="1"/>
    <col min="83" max="83" width="14.5703125" customWidth="1"/>
    <col min="84" max="84" width="8.85546875" customWidth="1"/>
    <col min="85" max="85" width="10.7109375" customWidth="1"/>
    <col min="86" max="89" width="8.85546875" customWidth="1"/>
    <col min="90" max="90" width="10.140625" customWidth="1"/>
    <col min="91" max="93" width="8.85546875" customWidth="1"/>
  </cols>
  <sheetData>
    <row r="1" spans="1:93" x14ac:dyDescent="0.25">
      <c r="A1" s="3" t="s">
        <v>0</v>
      </c>
    </row>
    <row r="2" spans="1:93" x14ac:dyDescent="0.25">
      <c r="A2" t="s">
        <v>1</v>
      </c>
    </row>
    <row r="3" spans="1:93" x14ac:dyDescent="0.25">
      <c r="A3" t="s">
        <v>2</v>
      </c>
    </row>
    <row r="4" spans="1:93" x14ac:dyDescent="0.25">
      <c r="A4" t="s">
        <v>3</v>
      </c>
    </row>
    <row r="5" spans="1:93" x14ac:dyDescent="0.25">
      <c r="A5" s="4" t="s">
        <v>4</v>
      </c>
    </row>
    <row r="11" spans="1:93" x14ac:dyDescent="0.25">
      <c r="CG11" s="29">
        <v>46023</v>
      </c>
      <c r="CL11" s="29">
        <v>46113</v>
      </c>
    </row>
    <row r="12" spans="1:93" x14ac:dyDescent="0.25">
      <c r="CG12" s="29">
        <v>46203</v>
      </c>
      <c r="CL12" s="29">
        <v>46203</v>
      </c>
    </row>
    <row r="13" spans="1:93" s="3" customFormat="1" ht="30" customHeight="1" x14ac:dyDescent="0.25">
      <c r="A13" s="3" t="s">
        <v>5</v>
      </c>
      <c r="E13" s="3" t="s">
        <v>6</v>
      </c>
      <c r="I13" s="3" t="s">
        <v>7</v>
      </c>
      <c r="N13" s="3" t="s">
        <v>8</v>
      </c>
      <c r="R13" s="3" t="s">
        <v>9</v>
      </c>
      <c r="V13" s="3" t="s">
        <v>10</v>
      </c>
      <c r="Z13" s="3" t="s">
        <v>11</v>
      </c>
      <c r="AA13" s="3" t="s">
        <v>12</v>
      </c>
      <c r="AC13" s="3" t="s">
        <v>13</v>
      </c>
      <c r="AE13" s="3" t="s">
        <v>14</v>
      </c>
      <c r="AG13" s="3" t="s">
        <v>15</v>
      </c>
      <c r="AI13" s="3" t="s">
        <v>16</v>
      </c>
      <c r="AK13" s="3" t="s">
        <v>17</v>
      </c>
      <c r="AN13" s="3" t="s">
        <v>18</v>
      </c>
      <c r="AQ13" s="3" t="s">
        <v>19</v>
      </c>
      <c r="AR13" s="5" t="s">
        <v>231</v>
      </c>
      <c r="AS13" s="5" t="s">
        <v>5</v>
      </c>
      <c r="AT13" s="5" t="s">
        <v>232</v>
      </c>
      <c r="AU13" s="5" t="s">
        <v>233</v>
      </c>
      <c r="AV13" s="5" t="s">
        <v>234</v>
      </c>
      <c r="AW13" s="5" t="s">
        <v>235</v>
      </c>
      <c r="AX13" s="5" t="s">
        <v>236</v>
      </c>
      <c r="AY13" s="5" t="s">
        <v>237</v>
      </c>
      <c r="AZ13" s="5" t="s">
        <v>238</v>
      </c>
      <c r="BA13" s="5" t="s">
        <v>239</v>
      </c>
      <c r="BB13" s="5" t="s">
        <v>10</v>
      </c>
      <c r="BC13" s="5" t="s">
        <v>240</v>
      </c>
      <c r="BD13" s="5" t="s">
        <v>241</v>
      </c>
      <c r="BE13" s="5" t="s">
        <v>242</v>
      </c>
      <c r="BF13" s="5" t="s">
        <v>243</v>
      </c>
      <c r="BG13" s="5" t="s">
        <v>244</v>
      </c>
      <c r="BH13" s="5" t="s">
        <v>245</v>
      </c>
      <c r="BK13" s="5" t="s">
        <v>246</v>
      </c>
      <c r="BL13" s="5" t="s">
        <v>247</v>
      </c>
      <c r="BM13" s="5" t="s">
        <v>245</v>
      </c>
      <c r="BO13" s="14" t="s">
        <v>232</v>
      </c>
      <c r="BP13" s="13" t="s">
        <v>248</v>
      </c>
      <c r="BQ13" s="13" t="s">
        <v>249</v>
      </c>
      <c r="BR13" s="13" t="s">
        <v>250</v>
      </c>
      <c r="BS13" s="13" t="s">
        <v>251</v>
      </c>
      <c r="BT13" s="13" t="s">
        <v>252</v>
      </c>
      <c r="BU13" s="13" t="s">
        <v>253</v>
      </c>
      <c r="BV13" s="13" t="s">
        <v>254</v>
      </c>
      <c r="BW13" s="13" t="s">
        <v>255</v>
      </c>
      <c r="BX13" s="13" t="s">
        <v>256</v>
      </c>
      <c r="BY13" s="13" t="s">
        <v>257</v>
      </c>
      <c r="BZ13" s="13" t="s">
        <v>258</v>
      </c>
      <c r="CA13" s="13" t="s">
        <v>259</v>
      </c>
      <c r="CB13" s="13" t="s">
        <v>260</v>
      </c>
      <c r="CC13" s="13" t="s">
        <v>261</v>
      </c>
      <c r="CD13" s="13" t="s">
        <v>262</v>
      </c>
      <c r="CE13" s="13" t="s">
        <v>263</v>
      </c>
      <c r="CG13" s="13" t="s">
        <v>284</v>
      </c>
      <c r="CH13" s="13" t="s">
        <v>285</v>
      </c>
      <c r="CI13" s="13" t="s">
        <v>286</v>
      </c>
      <c r="CJ13" s="13" t="s">
        <v>287</v>
      </c>
      <c r="CL13" s="13" t="s">
        <v>284</v>
      </c>
      <c r="CM13" s="13" t="s">
        <v>285</v>
      </c>
      <c r="CN13" s="13" t="s">
        <v>286</v>
      </c>
      <c r="CO13" s="13" t="s">
        <v>287</v>
      </c>
    </row>
    <row r="14" spans="1:93" x14ac:dyDescent="0.25">
      <c r="A14" t="s">
        <v>20</v>
      </c>
      <c r="BK14" s="6">
        <v>320</v>
      </c>
      <c r="BL14" s="7">
        <f t="shared" ref="BL14:BL20" si="0">COUNTIFS($AW$15:$AW$195,BK14,$AY$15:$AY$195,1)</f>
        <v>12</v>
      </c>
      <c r="BM14" t="s">
        <v>227</v>
      </c>
      <c r="BO14" t="s">
        <v>211</v>
      </c>
      <c r="BP14" s="15">
        <f t="array" ref="BP14">SUMPRODUCT(($BH$15:$BH$195="IL | Studio | A")*($AY$15:$AY$195=1)*IFERROR(1/COUNTIFS($AS$15:$AS$195,$AS$15:$AS$195,$BH$15:$BH$195,"IL | Studio | A",$AY$15:$AY$195,1),0))</f>
        <v>8</v>
      </c>
      <c r="BQ14" s="15">
        <f>COUNTIFS($BH$15:$BH$195,"IL | Studio | A",$AY$15:$AY$195,1)</f>
        <v>8</v>
      </c>
      <c r="BR14" s="15">
        <f>COUNTIFS($BH$15:$BH$195,"IL | Studio | A",$AY$15:$AY$195,1,$AZ$15:$AZ$195,1)</f>
        <v>7</v>
      </c>
      <c r="BS14" s="16">
        <f>IFERROR(BR14/BQ14,0)</f>
        <v>0.875</v>
      </c>
      <c r="BT14" s="15">
        <f>IFERROR(_xlfn.MINIFS($AW$15:$AW$195,$BH$15:$BH$195,"IL | Studio | A",$AY$15:$AY$195,1),0)</f>
        <v>420</v>
      </c>
      <c r="BU14" s="15">
        <f>IFERROR(AVERAGEIFS($AW$15:$AW$195,$BH$15:$BH$195,"IL | Studio | A",$AY$15:$AY$195,1),0)</f>
        <v>420</v>
      </c>
      <c r="BV14" s="15">
        <f>IFERROR(_xlfn.MAXIFS($AW$15:$AW$195,$BH$15:$BH$195,"IL | Studio | A",$AY$15:$AY$195,1),0)</f>
        <v>420</v>
      </c>
      <c r="BW14" s="15">
        <f>IFERROR(AVERAGEIFS($BB$15:$BB$195,$BH$15:$BH$195,"IL | Studio | A",$AY$15:$AY$195,1),0)</f>
        <v>3295</v>
      </c>
      <c r="BX14" s="15">
        <f>IFERROR(AVERAGEIFS($BB$15:$BB$195,$BH$15:$BH$195,"IL | Studio | A",$AY$15:$AY$195,1,$AZ$15:$AZ$195,1),0)</f>
        <v>3295</v>
      </c>
      <c r="BY14" s="15">
        <f>IFERROR(AVERAGEIFS($BC$15:$BC$195,$BH$15:$BH$195,"IL | Studio | A",$AY$15:$AY$195,1,$AZ$15:$AZ$195,1),0)</f>
        <v>3148.5714285714284</v>
      </c>
      <c r="BZ14" s="16">
        <f>IFERROR(BY14/BX14-1,0)</f>
        <v>-4.4439627140689386E-2</v>
      </c>
      <c r="CA14" s="15">
        <f>IFERROR(AVERAGEIFS($BD$15:$BD$195,$BH$15:$BH$195,"IL | Studio | A",$AY$15:$AY$195,1),0)</f>
        <v>0</v>
      </c>
      <c r="CB14" s="20">
        <v>3295</v>
      </c>
      <c r="CC14" s="15">
        <v>0</v>
      </c>
      <c r="CD14" s="15">
        <f>CB14+CC14</f>
        <v>3295</v>
      </c>
      <c r="CE14" s="16">
        <f>IFERROR(CD14/BY14-1,0)</f>
        <v>4.6506352087114289E-2</v>
      </c>
      <c r="CG14" s="15">
        <f>IFERROR(_xlfn.MINIFS($BC$15:$BC$195,$BH$15:$BH$195,"IL | Studio | A",$AY$15:$AY$195,1,$AZ$15:$AZ$195,1,$BA$15:$BA$195,"&gt;="&amp;$CG$11,$BA$15:$BA$195,"&lt;="&amp;$CG$12),0)</f>
        <v>3295</v>
      </c>
      <c r="CH14" s="15">
        <f>IFERROR(AVERAGEIFS($BC$15:$BC$195,$BH$15:$BH$195,"IL | Studio | A",$AY$15:$AY$195,1,$AZ$15:$AZ$195,1,$BA$15:$BA$195,"&gt;="&amp;$CG$11,$BA$15:$BA$195,"&lt;="&amp;$CG$12),0)</f>
        <v>3295</v>
      </c>
      <c r="CI14" s="15">
        <f>IFERROR(_xlfn.MAXIFS($BC$15:$BC$195,$BH$15:$BH$195,"IL | Studio | A",$AY$15:$AY$195,1,$AZ$15:$AZ$195,1,$BA$15:$BA$195,"&gt;="&amp;$CG$11,$BA$15:$BA$195,"&lt;="&amp;$CG$12),0)</f>
        <v>3295</v>
      </c>
      <c r="CJ14" s="15">
        <f>COUNTIFS($BH$15:$BH$195,"IL | Studio | A",$AY$15:$AY$195,1,$AZ$15:$AZ$195,1,$BA$15:$BA$195,"&gt;="&amp;$CG$11,$BA$15:$BA$195,"&lt;="&amp;$CG$12)</f>
        <v>1</v>
      </c>
      <c r="CL14" s="15">
        <f>IFERROR(_xlfn.MINIFS($BC$15:$BC$195,$BH$15:$BH$195,"IL | Studio | A",$AY$15:$AY$195,1,$AZ$15:$AZ$195,1,$BA$15:$BA$195,"&gt;="&amp;$CL$11,$BA$15:$BA$195,"&lt;="&amp;$CL$12),0)</f>
        <v>3295</v>
      </c>
      <c r="CM14" s="15">
        <f>IFERROR(AVERAGEIFS($BC$15:$BC$195,$BH$15:$BH$195,"IL | Studio | A",$AY$15:$AY$195,1,$AZ$15:$AZ$195,1,$BA$15:$BA$195,"&gt;="&amp;$CL$11,$BA$15:$BA$195,"&lt;="&amp;$CL$12),0)</f>
        <v>3295</v>
      </c>
      <c r="CN14" s="15">
        <f>IFERROR(_xlfn.MAXIFS($BC$15:$BC$195,$BH$15:$BH$195,"IL | Studio | A",$AY$15:$AY$195,1,$AZ$15:$AZ$195,1,$BA$15:$BA$195,"&gt;="&amp;$CL$11,$BA$15:$BA$195,"&lt;="&amp;$CL$12),0)</f>
        <v>3295</v>
      </c>
      <c r="CO14" s="15">
        <f>COUNTIFS($BH$15:$BH$195,"IL | Studio | A",$AY$15:$AY$195,1,$AZ$15:$AZ$195,1,$BA$15:$BA$195,"&gt;="&amp;$CL$11,$BA$15:$BA$195,"&lt;="&amp;$CL$12)</f>
        <v>1</v>
      </c>
    </row>
    <row r="15" spans="1:93" ht="15" customHeight="1" x14ac:dyDescent="0.25">
      <c r="A15">
        <v>101</v>
      </c>
      <c r="E15" t="s">
        <v>21</v>
      </c>
      <c r="I15" t="s">
        <v>22</v>
      </c>
      <c r="N15" s="1">
        <v>43466</v>
      </c>
      <c r="R15" s="1">
        <v>43466</v>
      </c>
      <c r="V15" s="2">
        <v>3295</v>
      </c>
      <c r="Z15" s="2">
        <v>3030</v>
      </c>
      <c r="AA15">
        <v>-265</v>
      </c>
      <c r="AC15">
        <v>0</v>
      </c>
      <c r="AE15">
        <v>-265</v>
      </c>
      <c r="AG15">
        <v>0</v>
      </c>
      <c r="AI15">
        <v>0</v>
      </c>
      <c r="AK15">
        <v>0</v>
      </c>
      <c r="AN15">
        <v>0</v>
      </c>
      <c r="AQ15" s="2">
        <v>3030</v>
      </c>
      <c r="AR15" s="8">
        <v>1</v>
      </c>
      <c r="AS15" s="8">
        <f>A15</f>
        <v>101</v>
      </c>
      <c r="AT15" s="8" t="s">
        <v>207</v>
      </c>
      <c r="AU15" s="8" t="s">
        <v>208</v>
      </c>
      <c r="AV15" s="8" t="s">
        <v>209</v>
      </c>
      <c r="AW15" s="9">
        <v>420</v>
      </c>
      <c r="AX15" s="8"/>
      <c r="AY15" s="10">
        <v>1</v>
      </c>
      <c r="AZ15" s="10">
        <v>1</v>
      </c>
      <c r="BA15" s="11">
        <v>43466</v>
      </c>
      <c r="BB15" s="12">
        <f>IFERROR(VALUE(V15),0)+IFERROR(VALUE(V16),0)</f>
        <v>3295</v>
      </c>
      <c r="BC15" s="12">
        <f>IFERROR(VALUE(Z15),0)+IFERROR(VALUE(Z16),0)</f>
        <v>3030</v>
      </c>
      <c r="BD15" s="12">
        <f>IFERROR(VALUE(AI15),0)+IFERROR(VALUE(AI16),0)</f>
        <v>0</v>
      </c>
      <c r="BE15" s="12">
        <f>IFERROR(VALUE(AG15),0)+IFERROR(VALUE(AG16),0)</f>
        <v>995</v>
      </c>
      <c r="BF15" s="8" t="str">
        <f>IF(AS15="","",AV15&amp;" | "&amp;AT15&amp;" | "&amp;AW15)</f>
        <v>IL | Studio | 420</v>
      </c>
      <c r="BG15" s="8" t="s">
        <v>210</v>
      </c>
      <c r="BH15" s="8" t="s">
        <v>211</v>
      </c>
      <c r="BK15" s="6">
        <v>380</v>
      </c>
      <c r="BL15" s="7">
        <f t="shared" si="0"/>
        <v>18</v>
      </c>
      <c r="BM15" t="s">
        <v>221</v>
      </c>
      <c r="BO15" t="s">
        <v>215</v>
      </c>
      <c r="BP15" s="15">
        <f t="array" ref="BP15">SUMPRODUCT(($BH$15:$BH$195="IL | 1BR | A")*($AY$15:$AY$195=1)*IFERROR(1/COUNTIFS($AS$15:$AS$195,$AS$15:$AS$195,$BH$15:$BH$195,"IL | 1BR | A",$AY$15:$AY$195,1),0))</f>
        <v>22</v>
      </c>
      <c r="BQ15" s="15">
        <f>COUNTIFS($BH$15:$BH$195,"IL | 1BR | A",$AY$15:$AY$195,1)</f>
        <v>22</v>
      </c>
      <c r="BR15" s="15">
        <f>COUNTIFS($BH$15:$BH$195,"IL | 1BR | A",$AY$15:$AY$195,1,$AZ$15:$AZ$195,1)</f>
        <v>21</v>
      </c>
      <c r="BS15" s="16">
        <f>IFERROR(BR15/BQ15,0)</f>
        <v>0.95454545454545459</v>
      </c>
      <c r="BT15" s="15">
        <f>IFERROR(_xlfn.MINIFS($AW$15:$AW$195,$BH$15:$BH$195,"IL | 1BR | A",$AY$15:$AY$195,1),0)</f>
        <v>610</v>
      </c>
      <c r="BU15" s="15">
        <f>IFERROR(AVERAGEIFS($AW$15:$AW$195,$BH$15:$BH$195,"IL | 1BR | A",$AY$15:$AY$195,1),0)</f>
        <v>610</v>
      </c>
      <c r="BV15" s="15">
        <f>IFERROR(_xlfn.MAXIFS($AW$15:$AW$195,$BH$15:$BH$195,"IL | 1BR | A",$AY$15:$AY$195,1),0)</f>
        <v>610</v>
      </c>
      <c r="BW15" s="15">
        <f>IFERROR(AVERAGEIFS($BB$15:$BB$195,$BH$15:$BH$195,"IL | 1BR | A",$AY$15:$AY$195,1),0)</f>
        <v>3895</v>
      </c>
      <c r="BX15" s="15">
        <f>IFERROR(AVERAGEIFS($BB$15:$BB$195,$BH$15:$BH$195,"IL | 1BR | A",$AY$15:$AY$195,1,$AZ$15:$AZ$195,1),0)</f>
        <v>3895</v>
      </c>
      <c r="BY15" s="15">
        <f>IFERROR(AVERAGEIFS($BC$15:$BC$195,$BH$15:$BH$195,"IL | 1BR | A",$AY$15:$AY$195,1,$AZ$15:$AZ$195,1),0)</f>
        <v>3710.9523809523807</v>
      </c>
      <c r="BZ15" s="16">
        <f>IFERROR(BY15/BX15-1,0)</f>
        <v>-4.7252277034048551E-2</v>
      </c>
      <c r="CA15" s="15">
        <f>IFERROR(AVERAGEIFS($BD$15:$BD$195,$BH$15:$BH$195,"IL | 1BR | A",$AY$15:$AY$195,1),0)</f>
        <v>0</v>
      </c>
      <c r="CB15" s="20">
        <v>3895</v>
      </c>
      <c r="CC15" s="15">
        <v>0</v>
      </c>
      <c r="CD15" s="15">
        <f>CB15+CC15</f>
        <v>3895</v>
      </c>
      <c r="CE15" s="16">
        <f>IFERROR(CD15/BY15-1,0)</f>
        <v>4.9595791094572128E-2</v>
      </c>
      <c r="CG15" s="15">
        <f>IFERROR(_xlfn.MINIFS($BC$15:$BC$195,$BH$15:$BH$195,"IL | 1BR | A",$AY$15:$AY$195,1,$AZ$15:$AZ$195,1,$BA$15:$BA$195,"&gt;="&amp;$CG$11,$BA$15:$BA$195,"&lt;="&amp;$CG$12),0)</f>
        <v>3855</v>
      </c>
      <c r="CH15" s="15">
        <f>IFERROR(AVERAGEIFS($BC$15:$BC$195,$BH$15:$BH$195,"IL | 1BR | A",$AY$15:$AY$195,1,$AZ$15:$AZ$195,1,$BA$15:$BA$195,"&gt;="&amp;$CG$11,$BA$15:$BA$195,"&lt;="&amp;$CG$12),0)</f>
        <v>3855</v>
      </c>
      <c r="CI15" s="15">
        <f>IFERROR(_xlfn.MAXIFS($BC$15:$BC$195,$BH$15:$BH$195,"IL | 1BR | A",$AY$15:$AY$195,1,$AZ$15:$AZ$195,1,$BA$15:$BA$195,"&gt;="&amp;$CG$11,$BA$15:$BA$195,"&lt;="&amp;$CG$12),0)</f>
        <v>3855</v>
      </c>
      <c r="CJ15" s="15">
        <f>COUNTIFS($BH$15:$BH$195,"IL | 1BR | A",$AY$15:$AY$195,1,$AZ$15:$AZ$195,1,$BA$15:$BA$195,"&gt;="&amp;$CG$11,$BA$15:$BA$195,"&lt;="&amp;$CG$12)</f>
        <v>3</v>
      </c>
      <c r="CL15" s="15">
        <f>IFERROR(_xlfn.MINIFS($BC$15:$BC$195,$BH$15:$BH$195,"IL | 1BR | A",$AY$15:$AY$195,1,$AZ$15:$AZ$195,1,$BA$15:$BA$195,"&gt;="&amp;$CL$11,$BA$15:$BA$195,"&lt;="&amp;$CL$12),0)</f>
        <v>0</v>
      </c>
      <c r="CM15" s="15">
        <f>IFERROR(AVERAGEIFS($BC$15:$BC$195,$BH$15:$BH$195,"IL | 1BR | A",$AY$15:$AY$195,1,$AZ$15:$AZ$195,1,$BA$15:$BA$195,"&gt;="&amp;$CL$11,$BA$15:$BA$195,"&lt;="&amp;$CL$12),0)</f>
        <v>0</v>
      </c>
      <c r="CN15" s="15">
        <f>IFERROR(_xlfn.MAXIFS($BC$15:$BC$195,$BH$15:$BH$195,"IL | 1BR | A",$AY$15:$AY$195,1,$AZ$15:$AZ$195,1,$BA$15:$BA$195,"&gt;="&amp;$CL$11,$BA$15:$BA$195,"&lt;="&amp;$CL$12),0)</f>
        <v>0</v>
      </c>
      <c r="CO15" s="15">
        <f>COUNTIFS($BH$15:$BH$195,"IL | 1BR | A",$AY$15:$AY$195,1,$AZ$15:$AZ$195,1,$BA$15:$BA$195,"&gt;="&amp;$CL$11,$BA$15:$BA$195,"&lt;="&amp;$CL$12)</f>
        <v>0</v>
      </c>
    </row>
    <row r="16" spans="1:93" ht="15" customHeight="1" x14ac:dyDescent="0.25">
      <c r="I16" t="s">
        <v>23</v>
      </c>
      <c r="N16" s="1">
        <v>43466</v>
      </c>
      <c r="R16" s="1">
        <v>43466</v>
      </c>
      <c r="V16">
        <v>0</v>
      </c>
      <c r="Z16">
        <v>0</v>
      </c>
      <c r="AG16">
        <v>995</v>
      </c>
      <c r="AI16">
        <v>0</v>
      </c>
      <c r="AK16">
        <v>0</v>
      </c>
      <c r="AN16">
        <v>0</v>
      </c>
      <c r="AQ16">
        <v>995</v>
      </c>
      <c r="AR16" s="8">
        <v>2</v>
      </c>
      <c r="AS16" s="8">
        <f>A16</f>
        <v>0</v>
      </c>
      <c r="AT16" s="8" t="s">
        <v>207</v>
      </c>
      <c r="AU16" s="8" t="s">
        <v>212</v>
      </c>
      <c r="AV16" s="8" t="s">
        <v>209</v>
      </c>
      <c r="AW16" s="9">
        <v>0</v>
      </c>
      <c r="AX16" s="8"/>
      <c r="AY16" s="10">
        <v>0</v>
      </c>
      <c r="AZ16" s="10">
        <v>0</v>
      </c>
      <c r="BA16" s="11"/>
      <c r="BB16" s="12">
        <v>0</v>
      </c>
      <c r="BC16" s="12">
        <v>0</v>
      </c>
      <c r="BD16" s="12">
        <v>0</v>
      </c>
      <c r="BE16" s="12">
        <v>0</v>
      </c>
      <c r="BF16" s="8" t="str">
        <f>IF(AS16="","",AV16&amp;" | "&amp;AT16&amp;" | "&amp;AW16)</f>
        <v>IL | Studio | 0</v>
      </c>
      <c r="BG16" s="8" t="s">
        <v>210</v>
      </c>
      <c r="BH16" s="8" t="s">
        <v>211</v>
      </c>
      <c r="BK16" s="6">
        <v>400</v>
      </c>
      <c r="BL16" s="7">
        <f t="shared" si="0"/>
        <v>4</v>
      </c>
      <c r="BM16" t="s">
        <v>230</v>
      </c>
      <c r="BO16" t="s">
        <v>218</v>
      </c>
      <c r="BP16" s="15">
        <f t="array" ref="BP16">SUMPRODUCT(($BH$15:$BH$195="IL | 2BR | A")*($AY$15:$AY$195=1)*IFERROR(1/COUNTIFS($AS$15:$AS$195,$AS$15:$AS$195,$BH$15:$BH$195,"IL | 2BR | A",$AY$15:$AY$195,1),0))</f>
        <v>10</v>
      </c>
      <c r="BQ16" s="15">
        <f>COUNTIFS($BH$15:$BH$195,"IL | 2BR | A",$AY$15:$AY$195,1)</f>
        <v>10</v>
      </c>
      <c r="BR16" s="15">
        <f>COUNTIFS($BH$15:$BH$195,"IL | 2BR | A",$AY$15:$AY$195,1,$AZ$15:$AZ$195,1)</f>
        <v>9</v>
      </c>
      <c r="BS16" s="16">
        <f>IFERROR(BR16/BQ16,0)</f>
        <v>0.9</v>
      </c>
      <c r="BT16" s="15">
        <f>IFERROR(_xlfn.MINIFS($AW$15:$AW$195,$BH$15:$BH$195,"IL | 2BR | A",$AY$15:$AY$195,1),0)</f>
        <v>850</v>
      </c>
      <c r="BU16" s="15">
        <f>IFERROR(AVERAGEIFS($AW$15:$AW$195,$BH$15:$BH$195,"IL | 2BR | A",$AY$15:$AY$195,1),0)</f>
        <v>850</v>
      </c>
      <c r="BV16" s="15">
        <f>IFERROR(_xlfn.MAXIFS($AW$15:$AW$195,$BH$15:$BH$195,"IL | 2BR | A",$AY$15:$AY$195,1),0)</f>
        <v>850</v>
      </c>
      <c r="BW16" s="15">
        <f>IFERROR(AVERAGEIFS($BB$15:$BB$195,$BH$15:$BH$195,"IL | 2BR | A",$AY$15:$AY$195,1),0)</f>
        <v>4695</v>
      </c>
      <c r="BX16" s="15">
        <f>IFERROR(AVERAGEIFS($BB$15:$BB$195,$BH$15:$BH$195,"IL | 2BR | A",$AY$15:$AY$195,1,$AZ$15:$AZ$195,1),0)</f>
        <v>4695</v>
      </c>
      <c r="BY16" s="15">
        <f>IFERROR(AVERAGEIFS($BC$15:$BC$195,$BH$15:$BH$195,"IL | 2BR | A",$AY$15:$AY$195,1,$AZ$15:$AZ$195,1),0)</f>
        <v>4507.2222222222226</v>
      </c>
      <c r="BZ16" s="16">
        <f>IFERROR(BY16/BX16-1,0)</f>
        <v>-3.9995266832327458E-2</v>
      </c>
      <c r="CA16" s="15">
        <f>IFERROR(AVERAGEIFS($BD$15:$BD$195,$BH$15:$BH$195,"IL | 2BR | A",$AY$15:$AY$195,1),0)</f>
        <v>0</v>
      </c>
      <c r="CB16" s="20">
        <v>4695</v>
      </c>
      <c r="CC16" s="15">
        <v>0</v>
      </c>
      <c r="CD16" s="15">
        <f>CB16+CC16</f>
        <v>4695</v>
      </c>
      <c r="CE16" s="16">
        <f>IFERROR(CD16/BY16-1,0)</f>
        <v>4.1661530876371256E-2</v>
      </c>
      <c r="CG16" s="15">
        <f>IFERROR(_xlfn.MINIFS($BC$15:$BC$195,$BH$15:$BH$195,"IL | 2BR | A",$AY$15:$AY$195,1,$AZ$15:$AZ$195,1,$BA$15:$BA$195,"&gt;="&amp;$CG$11,$BA$15:$BA$195,"&lt;="&amp;$CG$12),0)</f>
        <v>4650</v>
      </c>
      <c r="CH16" s="15">
        <f>IFERROR(AVERAGEIFS($BC$15:$BC$195,$BH$15:$BH$195,"IL | 2BR | A",$AY$15:$AY$195,1,$AZ$15:$AZ$195,1,$BA$15:$BA$195,"&gt;="&amp;$CG$11,$BA$15:$BA$195,"&lt;="&amp;$CG$12),0)</f>
        <v>4672.5</v>
      </c>
      <c r="CI16" s="15">
        <f>IFERROR(_xlfn.MAXIFS($BC$15:$BC$195,$BH$15:$BH$195,"IL | 2BR | A",$AY$15:$AY$195,1,$AZ$15:$AZ$195,1,$BA$15:$BA$195,"&gt;="&amp;$CG$11,$BA$15:$BA$195,"&lt;="&amp;$CG$12),0)</f>
        <v>4695</v>
      </c>
      <c r="CJ16" s="15">
        <f>COUNTIFS($BH$15:$BH$195,"IL | 2BR | A",$AY$15:$AY$195,1,$AZ$15:$AZ$195,1,$BA$15:$BA$195,"&gt;="&amp;$CG$11,$BA$15:$BA$195,"&lt;="&amp;$CG$12)</f>
        <v>2</v>
      </c>
      <c r="CL16" s="15">
        <f>IFERROR(_xlfn.MINIFS($BC$15:$BC$195,$BH$15:$BH$195,"IL | 2BR | A",$AY$15:$AY$195,1,$AZ$15:$AZ$195,1,$BA$15:$BA$195,"&gt;="&amp;$CL$11,$BA$15:$BA$195,"&lt;="&amp;$CL$12),0)</f>
        <v>4695</v>
      </c>
      <c r="CM16" s="15">
        <f>IFERROR(AVERAGEIFS($BC$15:$BC$195,$BH$15:$BH$195,"IL | 2BR | A",$AY$15:$AY$195,1,$AZ$15:$AZ$195,1,$BA$15:$BA$195,"&gt;="&amp;$CL$11,$BA$15:$BA$195,"&lt;="&amp;$CL$12),0)</f>
        <v>4695</v>
      </c>
      <c r="CN16" s="15">
        <f>IFERROR(_xlfn.MAXIFS($BC$15:$BC$195,$BH$15:$BH$195,"IL | 2BR | A",$AY$15:$AY$195,1,$AZ$15:$AZ$195,1,$BA$15:$BA$195,"&gt;="&amp;$CL$11,$BA$15:$BA$195,"&lt;="&amp;$CL$12),0)</f>
        <v>4695</v>
      </c>
      <c r="CO16" s="15">
        <f>COUNTIFS($BH$15:$BH$195,"IL | 2BR | A",$AY$15:$AY$195,1,$AZ$15:$AZ$195,1,$BA$15:$BA$195,"&gt;="&amp;$CL$11,$BA$15:$BA$195,"&lt;="&amp;$CL$12)</f>
        <v>1</v>
      </c>
    </row>
    <row r="17" spans="1:93" ht="15" customHeight="1" x14ac:dyDescent="0.25">
      <c r="I17" t="s">
        <v>24</v>
      </c>
      <c r="AQ17" s="2">
        <v>4025</v>
      </c>
      <c r="AR17" s="8"/>
      <c r="AS17" s="8"/>
      <c r="AT17" s="8"/>
      <c r="AU17" s="8"/>
      <c r="AV17" s="8"/>
      <c r="AW17" s="9"/>
      <c r="AX17" s="8"/>
      <c r="AY17" s="10"/>
      <c r="AZ17" s="10"/>
      <c r="BA17" s="11"/>
      <c r="BB17" s="12"/>
      <c r="BC17" s="12"/>
      <c r="BD17" s="12"/>
      <c r="BE17" s="12"/>
      <c r="BF17" s="8"/>
      <c r="BG17" s="8"/>
      <c r="BH17" s="8"/>
      <c r="BK17" s="6">
        <v>420</v>
      </c>
      <c r="BL17" s="7">
        <f t="shared" si="0"/>
        <v>8</v>
      </c>
      <c r="BM17" t="s">
        <v>211</v>
      </c>
      <c r="BO17" s="17" t="s">
        <v>264</v>
      </c>
      <c r="BP17" s="18">
        <f>SUM(BP14:BP16)</f>
        <v>40</v>
      </c>
      <c r="BQ17" s="18">
        <f>COUNTIFS($AV$15:$AV$195,"IL",$AY$15:$AY$195,1)</f>
        <v>40</v>
      </c>
      <c r="BR17" s="18">
        <f>COUNTIFS($AV$15:$AV$195,"IL",$AY$15:$AY$195,1,$AZ$15:$AZ$195,1)</f>
        <v>37</v>
      </c>
      <c r="BS17" s="19">
        <f>IFERROR(BR17/BQ17,0)</f>
        <v>0.92500000000000004</v>
      </c>
      <c r="BT17" s="18">
        <f>IFERROR(_xlfn.MINIFS($AW$15:$AW$195,$AV$15:$AV$195,"IL",$AY$15:$AY$195,1),0)</f>
        <v>420</v>
      </c>
      <c r="BU17" s="18">
        <f>IFERROR(AVERAGEIFS($AW$15:$AW$195,$AV$15:$AV$195,"IL",$AY$15:$AY$195,1),0)</f>
        <v>632</v>
      </c>
      <c r="BV17" s="18">
        <f>IFERROR(_xlfn.MAXIFS($AW$15:$AW$195,$AV$15:$AV$195,"IL",$AY$15:$AY$195,1),0)</f>
        <v>850</v>
      </c>
      <c r="BW17" s="18">
        <f>IFERROR(AVERAGEIFS($BB$15:$BB$195,$AV$15:$AV$195,"IL",$AY$15:$AY$195,1),0)</f>
        <v>3975</v>
      </c>
      <c r="BX17" s="18">
        <f>IFERROR(AVERAGEIFS($BB$15:$BB$195,$AV$15:$AV$195,"IL",$AY$15:$AY$195,1,$AZ$15:$AZ$195,1),0)</f>
        <v>3976.0810810810813</v>
      </c>
      <c r="BY17" s="18">
        <f>IFERROR(AVERAGEIFS($BC$15:$BC$195,$AV$15:$AV$195,"IL",$AY$15:$AY$195,1,$AZ$15:$AZ$195,1),0)</f>
        <v>3798.2432432432433</v>
      </c>
      <c r="BZ17" s="19">
        <f>IFERROR(BY17/BX17-1,0)</f>
        <v>-4.4726914318730215E-2</v>
      </c>
      <c r="CA17" s="18">
        <f>IFERROR(AVERAGEIFS($BD$15:$BD$195,$AV$15:$AV$195,"IL",$AY$15:$AY$195,1),0)</f>
        <v>0</v>
      </c>
      <c r="CB17" s="18">
        <f>IFERROR(SUMPRODUCT(CB14:CB16,BQ14:BQ16)/BQ17,0)</f>
        <v>3975</v>
      </c>
      <c r="CC17" s="18">
        <f>IFERROR(SUMPRODUCT(CC14:CC16,BQ14:BQ16)/BQ17,0)</f>
        <v>0</v>
      </c>
      <c r="CD17" s="18">
        <f>CB17+CC17</f>
        <v>3975</v>
      </c>
      <c r="CE17" s="19">
        <f>IFERROR(CD17/BY17-1,0)</f>
        <v>4.653644999466322E-2</v>
      </c>
      <c r="CG17" s="18">
        <f>IFERROR(_xlfn.MINIFS($BC$15:$BC$195,$AV$15:$AV$195,"IL",$AY$15:$AY$195,1,$AZ$15:$AZ$195,1,$BA$15:$BA$195,"&gt;="&amp;$CG$11,$BA$15:$BA$195,"&lt;="&amp;$CG$12),0)</f>
        <v>3295</v>
      </c>
      <c r="CH17" s="18">
        <f>IFERROR(AVERAGEIFS($BC$15:$BC$195,$AV$15:$AV$195,"IL",$AY$15:$AY$195,1,$AZ$15:$AZ$195,1,$BA$15:$BA$195,"&gt;="&amp;$CG$11,$BA$15:$BA$195,"&lt;="&amp;$CG$12),0)</f>
        <v>4034.1666666666665</v>
      </c>
      <c r="CI17" s="18">
        <f>IFERROR(_xlfn.MAXIFS($BC$15:$BC$195,$AV$15:$AV$195,"IL",$AY$15:$AY$195,1,$AZ$15:$AZ$195,1,$BA$15:$BA$195,"&gt;="&amp;$CG$11,$BA$15:$BA$195,"&lt;="&amp;$CG$12),0)</f>
        <v>4695</v>
      </c>
      <c r="CJ17" s="18">
        <f>COUNTIFS($AV$15:$AV$195,"IL",$AY$15:$AY$195,1,$AZ$15:$AZ$195,1,$BA$15:$BA$195,"&gt;="&amp;$CG$11,$BA$15:$BA$195,"&lt;="&amp;$CG$12)</f>
        <v>6</v>
      </c>
      <c r="CL17" s="18">
        <f>IFERROR(_xlfn.MINIFS($BC$15:$BC$195,$AV$15:$AV$195,"IL",$AY$15:$AY$195,1,$AZ$15:$AZ$195,1,$BA$15:$BA$195,"&gt;="&amp;$CL$11,$BA$15:$BA$195,"&lt;="&amp;$CL$12),0)</f>
        <v>3295</v>
      </c>
      <c r="CM17" s="18">
        <f>IFERROR(AVERAGEIFS($BC$15:$BC$195,$AV$15:$AV$195,"IL",$AY$15:$AY$195,1,$AZ$15:$AZ$195,1,$BA$15:$BA$195,"&gt;="&amp;$CL$11,$BA$15:$BA$195,"&lt;="&amp;$CL$12),0)</f>
        <v>3995</v>
      </c>
      <c r="CN17" s="18">
        <f>IFERROR(_xlfn.MAXIFS($BC$15:$BC$195,$AV$15:$AV$195,"IL",$AY$15:$AY$195,1,$AZ$15:$AZ$195,1,$BA$15:$BA$195,"&gt;="&amp;$CL$11,$BA$15:$BA$195,"&lt;="&amp;$CL$12),0)</f>
        <v>4695</v>
      </c>
      <c r="CO17" s="18">
        <f>COUNTIFS($AV$15:$AV$195,"IL",$AY$15:$AY$195,1,$AZ$15:$AZ$195,1,$BA$15:$BA$195,"&gt;="&amp;$CL$11,$BA$15:$BA$195,"&lt;="&amp;$CL$12)</f>
        <v>2</v>
      </c>
    </row>
    <row r="18" spans="1:93" ht="15" customHeight="1" x14ac:dyDescent="0.25">
      <c r="A18">
        <v>102</v>
      </c>
      <c r="E18" t="s">
        <v>21</v>
      </c>
      <c r="I18" t="s">
        <v>25</v>
      </c>
      <c r="N18" s="1">
        <v>44057</v>
      </c>
      <c r="R18" s="1">
        <v>44057</v>
      </c>
      <c r="V18" s="2">
        <v>3295</v>
      </c>
      <c r="Z18" s="2">
        <v>3065</v>
      </c>
      <c r="AA18">
        <v>-230</v>
      </c>
      <c r="AC18">
        <v>0</v>
      </c>
      <c r="AE18">
        <v>-230</v>
      </c>
      <c r="AG18">
        <v>0</v>
      </c>
      <c r="AI18">
        <v>0</v>
      </c>
      <c r="AK18">
        <v>0</v>
      </c>
      <c r="AN18">
        <v>0</v>
      </c>
      <c r="AQ18" s="2">
        <v>3065</v>
      </c>
      <c r="AR18" s="8">
        <v>3</v>
      </c>
      <c r="AS18" s="8">
        <f>A18</f>
        <v>102</v>
      </c>
      <c r="AT18" s="8" t="s">
        <v>207</v>
      </c>
      <c r="AU18" s="8" t="s">
        <v>208</v>
      </c>
      <c r="AV18" s="8" t="s">
        <v>209</v>
      </c>
      <c r="AW18" s="9">
        <v>420</v>
      </c>
      <c r="AX18" s="8"/>
      <c r="AY18" s="10">
        <v>1</v>
      </c>
      <c r="AZ18" s="10">
        <v>1</v>
      </c>
      <c r="BA18" s="11">
        <v>44057</v>
      </c>
      <c r="BB18" s="12">
        <f>IFERROR(VALUE(V18),0)</f>
        <v>3295</v>
      </c>
      <c r="BC18" s="12">
        <f>IFERROR(VALUE(Z18),0)</f>
        <v>3065</v>
      </c>
      <c r="BD18" s="12">
        <f>IFERROR(VALUE(AI18),0)</f>
        <v>0</v>
      </c>
      <c r="BE18" s="12">
        <f>IFERROR(VALUE(AG18),0)</f>
        <v>0</v>
      </c>
      <c r="BF18" s="8" t="str">
        <f>IF(AS18="","",AV18&amp;" | "&amp;AT18&amp;" | "&amp;AW18)</f>
        <v>IL | Studio | 420</v>
      </c>
      <c r="BG18" s="8" t="s">
        <v>210</v>
      </c>
      <c r="BH18" s="8" t="s">
        <v>211</v>
      </c>
      <c r="BK18" s="6">
        <v>540</v>
      </c>
      <c r="BL18" s="7">
        <f t="shared" si="0"/>
        <v>12</v>
      </c>
      <c r="BM18" t="s">
        <v>223</v>
      </c>
      <c r="BP18" s="15"/>
      <c r="BQ18" s="15"/>
      <c r="BR18" s="15"/>
      <c r="BS18" s="16"/>
      <c r="BT18" s="15"/>
      <c r="BU18" s="15"/>
      <c r="BV18" s="15"/>
      <c r="BW18" s="15"/>
      <c r="BX18" s="15"/>
      <c r="BY18" s="15"/>
      <c r="BZ18" s="16"/>
      <c r="CA18" s="15"/>
      <c r="CB18" s="15"/>
      <c r="CC18" s="15"/>
      <c r="CD18" s="15"/>
      <c r="CE18" s="16"/>
      <c r="CG18" s="15"/>
      <c r="CH18" s="15"/>
      <c r="CI18" s="15"/>
      <c r="CJ18" s="15"/>
      <c r="CL18" s="15"/>
      <c r="CM18" s="15"/>
      <c r="CN18" s="15"/>
      <c r="CO18" s="15"/>
    </row>
    <row r="19" spans="1:93" ht="15" customHeight="1" x14ac:dyDescent="0.25">
      <c r="I19" t="s">
        <v>26</v>
      </c>
      <c r="AQ19" s="2">
        <v>3065</v>
      </c>
      <c r="AR19" s="8"/>
      <c r="AS19" s="8"/>
      <c r="AT19" s="8"/>
      <c r="AU19" s="8"/>
      <c r="AV19" s="8"/>
      <c r="AW19" s="9"/>
      <c r="AX19" s="8"/>
      <c r="AY19" s="10"/>
      <c r="AZ19" s="10"/>
      <c r="BA19" s="11"/>
      <c r="BB19" s="12"/>
      <c r="BC19" s="12"/>
      <c r="BD19" s="12"/>
      <c r="BE19" s="12"/>
      <c r="BF19" s="8"/>
      <c r="BG19" s="8"/>
      <c r="BH19" s="8"/>
      <c r="BK19" s="6">
        <v>610</v>
      </c>
      <c r="BL19" s="7">
        <f t="shared" si="0"/>
        <v>22</v>
      </c>
      <c r="BM19" t="s">
        <v>215</v>
      </c>
      <c r="BO19" t="s">
        <v>221</v>
      </c>
      <c r="BP19" s="15">
        <f t="array" ref="BP19">SUMPRODUCT(($BH$15:$BH$195="AL | Studio | A")*($AY$15:$AY$195=1)*IFERROR(1/COUNTIFS($AS$15:$AS$195,$AS$15:$AS$195,$BH$15:$BH$195,"AL | Studio | A",$AY$15:$AY$195,1),0))</f>
        <v>18</v>
      </c>
      <c r="BQ19" s="15">
        <f>COUNTIFS($BH$15:$BH$195,"AL | Studio | A",$AY$15:$AY$195,1)</f>
        <v>18</v>
      </c>
      <c r="BR19" s="15">
        <f>COUNTIFS($BH$15:$BH$195,"AL | Studio | A",$AY$15:$AY$195,1,$AZ$15:$AZ$195,1)</f>
        <v>17</v>
      </c>
      <c r="BS19" s="16">
        <f>IFERROR(BR19/BQ19,0)</f>
        <v>0.94444444444444442</v>
      </c>
      <c r="BT19" s="15">
        <f>IFERROR(_xlfn.MINIFS($AW$15:$AW$195,$BH$15:$BH$195,"AL | Studio | A",$AY$15:$AY$195,1),0)</f>
        <v>380</v>
      </c>
      <c r="BU19" s="15">
        <f>IFERROR(AVERAGEIFS($AW$15:$AW$195,$BH$15:$BH$195,"AL | Studio | A",$AY$15:$AY$195,1),0)</f>
        <v>380</v>
      </c>
      <c r="BV19" s="15">
        <f>IFERROR(_xlfn.MAXIFS($AW$15:$AW$195,$BH$15:$BH$195,"AL | Studio | A",$AY$15:$AY$195,1),0)</f>
        <v>380</v>
      </c>
      <c r="BW19" s="15">
        <f>IFERROR(AVERAGEIFS($BB$15:$BB$195,$BH$15:$BH$195,"AL | Studio | A",$AY$15:$AY$195,1),0)</f>
        <v>4495</v>
      </c>
      <c r="BX19" s="15">
        <f>IFERROR(AVERAGEIFS($BB$15:$BB$195,$BH$15:$BH$195,"AL | Studio | A",$AY$15:$AY$195,1,$AZ$15:$AZ$195,1),0)</f>
        <v>4495</v>
      </c>
      <c r="BY19" s="15">
        <f>IFERROR(AVERAGEIFS($BC$15:$BC$195,$BH$15:$BH$195,"AL | Studio | A",$AY$15:$AY$195,1,$AZ$15:$AZ$195,1),0)</f>
        <v>4304.411764705882</v>
      </c>
      <c r="BZ19" s="16">
        <f>IFERROR(BY19/BX19-1,0)</f>
        <v>-4.2400052345743733E-2</v>
      </c>
      <c r="CA19" s="15">
        <f>IFERROR(AVERAGEIFS($BD$15:$BD$195,$BH$15:$BH$195,"AL | Studio | A",$AY$15:$AY$195,1),0)</f>
        <v>700.83333333333337</v>
      </c>
      <c r="CB19" s="20">
        <v>4495</v>
      </c>
      <c r="CC19" s="15">
        <v>0</v>
      </c>
      <c r="CD19" s="15">
        <f>CB19+CC19</f>
        <v>4495</v>
      </c>
      <c r="CE19" s="16">
        <f>IFERROR(CD19/BY19-1,0)</f>
        <v>4.4277417150666354E-2</v>
      </c>
      <c r="CG19" s="15">
        <f>IFERROR(_xlfn.MINIFS($BC$15:$BC$195,$BH$15:$BH$195,"AL | Studio | A",$AY$15:$AY$195,1,$AZ$15:$AZ$195,1,$BA$15:$BA$195,"&gt;="&amp;$CG$11,$BA$15:$BA$195,"&lt;="&amp;$CG$12),0)</f>
        <v>4450</v>
      </c>
      <c r="CH19" s="15">
        <f>IFERROR(AVERAGEIFS($BC$15:$BC$195,$BH$15:$BH$195,"AL | Studio | A",$AY$15:$AY$195,1,$AZ$15:$AZ$195,1,$BA$15:$BA$195,"&gt;="&amp;$CG$11,$BA$15:$BA$195,"&lt;="&amp;$CG$12),0)</f>
        <v>4465</v>
      </c>
      <c r="CI19" s="15">
        <f>IFERROR(_xlfn.MAXIFS($BC$15:$BC$195,$BH$15:$BH$195,"AL | Studio | A",$AY$15:$AY$195,1,$AZ$15:$AZ$195,1,$BA$15:$BA$195,"&gt;="&amp;$CG$11,$BA$15:$BA$195,"&lt;="&amp;$CG$12),0)</f>
        <v>4495</v>
      </c>
      <c r="CJ19" s="15">
        <f>COUNTIFS($BH$15:$BH$195,"AL | Studio | A",$AY$15:$AY$195,1,$AZ$15:$AZ$195,1,$BA$15:$BA$195,"&gt;="&amp;$CG$11,$BA$15:$BA$195,"&lt;="&amp;$CG$12)</f>
        <v>3</v>
      </c>
      <c r="CL19" s="15">
        <f>IFERROR(_xlfn.MINIFS($BC$15:$BC$195,$BH$15:$BH$195,"AL | Studio | A",$AY$15:$AY$195,1,$AZ$15:$AZ$195,1,$BA$15:$BA$195,"&gt;="&amp;$CL$11,$BA$15:$BA$195,"&lt;="&amp;$CL$12),0)</f>
        <v>4495</v>
      </c>
      <c r="CM19" s="15">
        <f>IFERROR(AVERAGEIFS($BC$15:$BC$195,$BH$15:$BH$195,"AL | Studio | A",$AY$15:$AY$195,1,$AZ$15:$AZ$195,1,$BA$15:$BA$195,"&gt;="&amp;$CL$11,$BA$15:$BA$195,"&lt;="&amp;$CL$12),0)</f>
        <v>4495</v>
      </c>
      <c r="CN19" s="15">
        <f>IFERROR(_xlfn.MAXIFS($BC$15:$BC$195,$BH$15:$BH$195,"AL | Studio | A",$AY$15:$AY$195,1,$AZ$15:$AZ$195,1,$BA$15:$BA$195,"&gt;="&amp;$CL$11,$BA$15:$BA$195,"&lt;="&amp;$CL$12),0)</f>
        <v>4495</v>
      </c>
      <c r="CO19" s="15">
        <f>COUNTIFS($BH$15:$BH$195,"AL | Studio | A",$AY$15:$AY$195,1,$AZ$15:$AZ$195,1,$BA$15:$BA$195,"&gt;="&amp;$CL$11,$BA$15:$BA$195,"&lt;="&amp;$CL$12)</f>
        <v>1</v>
      </c>
    </row>
    <row r="20" spans="1:93" ht="15" customHeight="1" x14ac:dyDescent="0.25">
      <c r="A20">
        <v>103</v>
      </c>
      <c r="E20" t="s">
        <v>21</v>
      </c>
      <c r="I20" t="s">
        <v>27</v>
      </c>
      <c r="N20" s="1">
        <v>44282</v>
      </c>
      <c r="R20" s="1">
        <v>44282</v>
      </c>
      <c r="V20" s="2">
        <v>3295</v>
      </c>
      <c r="Z20" s="2">
        <v>3095</v>
      </c>
      <c r="AA20">
        <v>-200</v>
      </c>
      <c r="AC20">
        <v>0</v>
      </c>
      <c r="AE20">
        <v>-200</v>
      </c>
      <c r="AG20">
        <v>0</v>
      </c>
      <c r="AI20">
        <v>0</v>
      </c>
      <c r="AK20">
        <v>0</v>
      </c>
      <c r="AN20">
        <v>0</v>
      </c>
      <c r="AQ20" s="2">
        <v>3095</v>
      </c>
      <c r="AR20" s="8">
        <v>4</v>
      </c>
      <c r="AS20" s="8">
        <f>A20</f>
        <v>103</v>
      </c>
      <c r="AT20" s="8" t="s">
        <v>207</v>
      </c>
      <c r="AU20" s="8" t="s">
        <v>208</v>
      </c>
      <c r="AV20" s="8" t="s">
        <v>209</v>
      </c>
      <c r="AW20" s="9">
        <v>420</v>
      </c>
      <c r="AX20" s="8"/>
      <c r="AY20" s="10">
        <v>1</v>
      </c>
      <c r="AZ20" s="10">
        <v>1</v>
      </c>
      <c r="BA20" s="11">
        <v>44282</v>
      </c>
      <c r="BB20" s="12">
        <f>IFERROR(VALUE(V20),0)+IFERROR(VALUE(V21),0)</f>
        <v>3295</v>
      </c>
      <c r="BC20" s="12">
        <f>IFERROR(VALUE(Z20),0)+IFERROR(VALUE(Z21),0)</f>
        <v>3095</v>
      </c>
      <c r="BD20" s="12">
        <f>IFERROR(VALUE(AI20),0)+IFERROR(VALUE(AI21),0)</f>
        <v>0</v>
      </c>
      <c r="BE20" s="12">
        <f>IFERROR(VALUE(AG20),0)+IFERROR(VALUE(AG21),0)</f>
        <v>995</v>
      </c>
      <c r="BF20" s="8" t="str">
        <f>IF(AS20="","",AV20&amp;" | "&amp;AT20&amp;" | "&amp;AW20)</f>
        <v>IL | Studio | 420</v>
      </c>
      <c r="BG20" s="8" t="s">
        <v>210</v>
      </c>
      <c r="BH20" s="8" t="s">
        <v>211</v>
      </c>
      <c r="BK20" s="6">
        <v>850</v>
      </c>
      <c r="BL20" s="7">
        <f t="shared" si="0"/>
        <v>10</v>
      </c>
      <c r="BM20" t="s">
        <v>218</v>
      </c>
      <c r="BO20" t="s">
        <v>223</v>
      </c>
      <c r="BP20" s="15">
        <f t="array" ref="BP20">SUMPRODUCT(($BH$15:$BH$195="AL | 1BR | A")*($AY$15:$AY$195=1)*IFERROR(1/COUNTIFS($AS$15:$AS$195,$AS$15:$AS$195,$BH$15:$BH$195,"AL | 1BR | A",$AY$15:$AY$195,1),0))</f>
        <v>12</v>
      </c>
      <c r="BQ20" s="15">
        <f>COUNTIFS($BH$15:$BH$195,"AL | 1BR | A",$AY$15:$AY$195,1)</f>
        <v>12</v>
      </c>
      <c r="BR20" s="15">
        <f>COUNTIFS($BH$15:$BH$195,"AL | 1BR | A",$AY$15:$AY$195,1,$AZ$15:$AZ$195,1)</f>
        <v>11</v>
      </c>
      <c r="BS20" s="16">
        <f>IFERROR(BR20/BQ20,0)</f>
        <v>0.91666666666666663</v>
      </c>
      <c r="BT20" s="15">
        <f>IFERROR(_xlfn.MINIFS($AW$15:$AW$195,$BH$15:$BH$195,"AL | 1BR | A",$AY$15:$AY$195,1),0)</f>
        <v>540</v>
      </c>
      <c r="BU20" s="15">
        <f>IFERROR(AVERAGEIFS($AW$15:$AW$195,$BH$15:$BH$195,"AL | 1BR | A",$AY$15:$AY$195,1),0)</f>
        <v>540</v>
      </c>
      <c r="BV20" s="15">
        <f>IFERROR(_xlfn.MAXIFS($AW$15:$AW$195,$BH$15:$BH$195,"AL | 1BR | A",$AY$15:$AY$195,1),0)</f>
        <v>540</v>
      </c>
      <c r="BW20" s="15">
        <f>IFERROR(AVERAGEIFS($BB$15:$BB$195,$BH$15:$BH$195,"AL | 1BR | A",$AY$15:$AY$195,1),0)</f>
        <v>5295</v>
      </c>
      <c r="BX20" s="15">
        <f>IFERROR(AVERAGEIFS($BB$15:$BB$195,$BH$15:$BH$195,"AL | 1BR | A",$AY$15:$AY$195,1,$AZ$15:$AZ$195,1),0)</f>
        <v>5295</v>
      </c>
      <c r="BY20" s="15">
        <f>IFERROR(AVERAGEIFS($BC$15:$BC$195,$BH$15:$BH$195,"AL | 1BR | A",$AY$15:$AY$195,1,$AZ$15:$AZ$195,1),0)</f>
        <v>5068.181818181818</v>
      </c>
      <c r="BZ20" s="16">
        <f>IFERROR(BY20/BX20-1,0)</f>
        <v>-4.2836294960940879E-2</v>
      </c>
      <c r="CA20" s="15">
        <f>IFERROR(AVERAGEIFS($BD$15:$BD$195,$BH$15:$BH$195,"AL | 1BR | A",$AY$15:$AY$195,1),0)</f>
        <v>1253.75</v>
      </c>
      <c r="CB20" s="20">
        <v>5295</v>
      </c>
      <c r="CC20" s="15">
        <v>0</v>
      </c>
      <c r="CD20" s="15">
        <f>CB20+CC20</f>
        <v>5295</v>
      </c>
      <c r="CE20" s="16">
        <f>IFERROR(CD20/BY20-1,0)</f>
        <v>4.4753363228699605E-2</v>
      </c>
      <c r="CG20" s="15">
        <f>IFERROR(_xlfn.MINIFS($BC$15:$BC$195,$BH$15:$BH$195,"AL | 1BR | A",$AY$15:$AY$195,1,$AZ$15:$AZ$195,1,$BA$15:$BA$195,"&gt;="&amp;$CG$11,$BA$15:$BA$195,"&lt;="&amp;$CG$12),0)</f>
        <v>5240</v>
      </c>
      <c r="CH20" s="15">
        <f>IFERROR(AVERAGEIFS($BC$15:$BC$195,$BH$15:$BH$195,"AL | 1BR | A",$AY$15:$AY$195,1,$AZ$15:$AZ$195,1,$BA$15:$BA$195,"&gt;="&amp;$CG$11,$BA$15:$BA$195,"&lt;="&amp;$CG$12),0)</f>
        <v>5267.5</v>
      </c>
      <c r="CI20" s="15">
        <f>IFERROR(_xlfn.MAXIFS($BC$15:$BC$195,$BH$15:$BH$195,"AL | 1BR | A",$AY$15:$AY$195,1,$AZ$15:$AZ$195,1,$BA$15:$BA$195,"&gt;="&amp;$CG$11,$BA$15:$BA$195,"&lt;="&amp;$CG$12),0)</f>
        <v>5295</v>
      </c>
      <c r="CJ20" s="15">
        <f>COUNTIFS($BH$15:$BH$195,"AL | 1BR | A",$AY$15:$AY$195,1,$AZ$15:$AZ$195,1,$BA$15:$BA$195,"&gt;="&amp;$CG$11,$BA$15:$BA$195,"&lt;="&amp;$CG$12)</f>
        <v>2</v>
      </c>
      <c r="CL20" s="15">
        <f>IFERROR(_xlfn.MINIFS($BC$15:$BC$195,$BH$15:$BH$195,"AL | 1BR | A",$AY$15:$AY$195,1,$AZ$15:$AZ$195,1,$BA$15:$BA$195,"&gt;="&amp;$CL$11,$BA$15:$BA$195,"&lt;="&amp;$CL$12),0)</f>
        <v>5295</v>
      </c>
      <c r="CM20" s="15">
        <f>IFERROR(AVERAGEIFS($BC$15:$BC$195,$BH$15:$BH$195,"AL | 1BR | A",$AY$15:$AY$195,1,$AZ$15:$AZ$195,1,$BA$15:$BA$195,"&gt;="&amp;$CL$11,$BA$15:$BA$195,"&lt;="&amp;$CL$12),0)</f>
        <v>5295</v>
      </c>
      <c r="CN20" s="15">
        <f>IFERROR(_xlfn.MAXIFS($BC$15:$BC$195,$BH$15:$BH$195,"AL | 1BR | A",$AY$15:$AY$195,1,$AZ$15:$AZ$195,1,$BA$15:$BA$195,"&gt;="&amp;$CL$11,$BA$15:$BA$195,"&lt;="&amp;$CL$12),0)</f>
        <v>5295</v>
      </c>
      <c r="CO20" s="15">
        <f>COUNTIFS($BH$15:$BH$195,"AL | 1BR | A",$AY$15:$AY$195,1,$AZ$15:$AZ$195,1,$BA$15:$BA$195,"&gt;="&amp;$CL$11,$BA$15:$BA$195,"&lt;="&amp;$CL$12)</f>
        <v>1</v>
      </c>
    </row>
    <row r="21" spans="1:93" ht="15" customHeight="1" x14ac:dyDescent="0.25">
      <c r="I21" t="s">
        <v>28</v>
      </c>
      <c r="N21" s="1">
        <v>44282</v>
      </c>
      <c r="R21" s="1">
        <v>44282</v>
      </c>
      <c r="V21">
        <v>0</v>
      </c>
      <c r="Z21">
        <v>0</v>
      </c>
      <c r="AG21">
        <v>995</v>
      </c>
      <c r="AI21">
        <v>0</v>
      </c>
      <c r="AK21">
        <v>0</v>
      </c>
      <c r="AN21">
        <v>0</v>
      </c>
      <c r="AQ21">
        <v>995</v>
      </c>
      <c r="AR21" s="8">
        <v>5</v>
      </c>
      <c r="AS21" s="8">
        <f>A21</f>
        <v>0</v>
      </c>
      <c r="AT21" s="8" t="s">
        <v>207</v>
      </c>
      <c r="AU21" s="8" t="s">
        <v>212</v>
      </c>
      <c r="AV21" s="8" t="s">
        <v>209</v>
      </c>
      <c r="AW21" s="9">
        <v>0</v>
      </c>
      <c r="AX21" s="8"/>
      <c r="AY21" s="10">
        <v>0</v>
      </c>
      <c r="AZ21" s="10">
        <v>0</v>
      </c>
      <c r="BA21" s="11"/>
      <c r="BB21" s="12">
        <v>0</v>
      </c>
      <c r="BC21" s="12">
        <v>0</v>
      </c>
      <c r="BD21" s="12">
        <v>0</v>
      </c>
      <c r="BE21" s="12">
        <v>0</v>
      </c>
      <c r="BF21" s="8" t="str">
        <f>IF(AS21="","",AV21&amp;" | "&amp;AT21&amp;" | "&amp;AW21)</f>
        <v>IL | Studio | 0</v>
      </c>
      <c r="BG21" s="8" t="s">
        <v>210</v>
      </c>
      <c r="BH21" s="8" t="s">
        <v>211</v>
      </c>
      <c r="BO21" s="17" t="s">
        <v>265</v>
      </c>
      <c r="BP21" s="18">
        <f>SUM(BP19:BP20)</f>
        <v>30</v>
      </c>
      <c r="BQ21" s="18">
        <f>COUNTIFS($AV$15:$AV$195,"AL",$AY$15:$AY$195,1)</f>
        <v>30</v>
      </c>
      <c r="BR21" s="18">
        <f>COUNTIFS($AV$15:$AV$195,"AL",$AY$15:$AY$195,1,$AZ$15:$AZ$195,1)</f>
        <v>28</v>
      </c>
      <c r="BS21" s="19">
        <f>IFERROR(BR21/BQ21,0)</f>
        <v>0.93333333333333335</v>
      </c>
      <c r="BT21" s="18">
        <f>IFERROR(_xlfn.MINIFS($AW$15:$AW$195,$AV$15:$AV$195,"AL",$AY$15:$AY$195,1),0)</f>
        <v>380</v>
      </c>
      <c r="BU21" s="18">
        <f>IFERROR(AVERAGEIFS($AW$15:$AW$195,$AV$15:$AV$195,"AL",$AY$15:$AY$195,1),0)</f>
        <v>444</v>
      </c>
      <c r="BV21" s="18">
        <f>IFERROR(_xlfn.MAXIFS($AW$15:$AW$195,$AV$15:$AV$195,"AL",$AY$15:$AY$195,1),0)</f>
        <v>540</v>
      </c>
      <c r="BW21" s="18">
        <f>IFERROR(AVERAGEIFS($BB$15:$BB$195,$AV$15:$AV$195,"AL",$AY$15:$AY$195,1),0)</f>
        <v>4815</v>
      </c>
      <c r="BX21" s="18">
        <f>IFERROR(AVERAGEIFS($BB$15:$BB$195,$AV$15:$AV$195,"AL",$AY$15:$AY$195,1,$AZ$15:$AZ$195,1),0)</f>
        <v>4809.2857142857147</v>
      </c>
      <c r="BY21" s="18">
        <f>IFERROR(AVERAGEIFS($BC$15:$BC$195,$AV$15:$AV$195,"AL",$AY$15:$AY$195,1,$AZ$15:$AZ$195,1),0)</f>
        <v>4604.4642857142853</v>
      </c>
      <c r="BZ21" s="19">
        <f>IFERROR(BY21/BX21-1,0)</f>
        <v>-4.2588742016931636E-2</v>
      </c>
      <c r="CA21" s="18">
        <f>IFERROR(AVERAGEIFS($BD$15:$BD$195,$AV$15:$AV$195,"AL",$AY$15:$AY$195,1),0)</f>
        <v>922</v>
      </c>
      <c r="CB21" s="18">
        <f>IFERROR(SUMPRODUCT(CB19:CB20,BQ19:BQ20)/BQ21,0)</f>
        <v>4815</v>
      </c>
      <c r="CC21" s="18">
        <f>IFERROR(SUMPRODUCT(CC19:CC20,BQ19:BQ20)/BQ21,0)</f>
        <v>0</v>
      </c>
      <c r="CD21" s="18">
        <f>CB21+CC21</f>
        <v>4815</v>
      </c>
      <c r="CE21" s="19">
        <f>IFERROR(CD21/BY21-1,0)</f>
        <v>4.5724258289703501E-2</v>
      </c>
      <c r="CG21" s="18">
        <f>IFERROR(_xlfn.MINIFS($BC$15:$BC$195,$AV$15:$AV$195,"AL",$AY$15:$AY$195,1,$AZ$15:$AZ$195,1,$BA$15:$BA$195,"&gt;="&amp;$CG$11,$BA$15:$BA$195,"&lt;="&amp;$CG$12),0)</f>
        <v>4450</v>
      </c>
      <c r="CH21" s="18">
        <f>IFERROR(AVERAGEIFS($BC$15:$BC$195,$AV$15:$AV$195,"AL",$AY$15:$AY$195,1,$AZ$15:$AZ$195,1,$BA$15:$BA$195,"&gt;="&amp;$CG$11,$BA$15:$BA$195,"&lt;="&amp;$CG$12),0)</f>
        <v>4786</v>
      </c>
      <c r="CI21" s="18">
        <f>IFERROR(_xlfn.MAXIFS($BC$15:$BC$195,$AV$15:$AV$195,"AL",$AY$15:$AY$195,1,$AZ$15:$AZ$195,1,$BA$15:$BA$195,"&gt;="&amp;$CG$11,$BA$15:$BA$195,"&lt;="&amp;$CG$12),0)</f>
        <v>5295</v>
      </c>
      <c r="CJ21" s="18">
        <f>COUNTIFS($AV$15:$AV$195,"AL",$AY$15:$AY$195,1,$AZ$15:$AZ$195,1,$BA$15:$BA$195,"&gt;="&amp;$CG$11,$BA$15:$BA$195,"&lt;="&amp;$CG$12)</f>
        <v>5</v>
      </c>
      <c r="CL21" s="18">
        <f>IFERROR(_xlfn.MINIFS($BC$15:$BC$195,$AV$15:$AV$195,"AL",$AY$15:$AY$195,1,$AZ$15:$AZ$195,1,$BA$15:$BA$195,"&gt;="&amp;$CL$11,$BA$15:$BA$195,"&lt;="&amp;$CL$12),0)</f>
        <v>4495</v>
      </c>
      <c r="CM21" s="18">
        <f>IFERROR(AVERAGEIFS($BC$15:$BC$195,$AV$15:$AV$195,"AL",$AY$15:$AY$195,1,$AZ$15:$AZ$195,1,$BA$15:$BA$195,"&gt;="&amp;$CL$11,$BA$15:$BA$195,"&lt;="&amp;$CL$12),0)</f>
        <v>4895</v>
      </c>
      <c r="CN21" s="18">
        <f>IFERROR(_xlfn.MAXIFS($BC$15:$BC$195,$AV$15:$AV$195,"AL",$AY$15:$AY$195,1,$AZ$15:$AZ$195,1,$BA$15:$BA$195,"&gt;="&amp;$CL$11,$BA$15:$BA$195,"&lt;="&amp;$CL$12),0)</f>
        <v>5295</v>
      </c>
      <c r="CO21" s="18">
        <f>COUNTIFS($AV$15:$AV$195,"AL",$AY$15:$AY$195,1,$AZ$15:$AZ$195,1,$BA$15:$BA$195,"&gt;="&amp;$CL$11,$BA$15:$BA$195,"&lt;="&amp;$CL$12)</f>
        <v>2</v>
      </c>
    </row>
    <row r="22" spans="1:93" ht="15" customHeight="1" x14ac:dyDescent="0.25">
      <c r="I22" t="s">
        <v>29</v>
      </c>
      <c r="AQ22" s="2">
        <v>4090</v>
      </c>
      <c r="AR22" s="8"/>
      <c r="AS22" s="8"/>
      <c r="AT22" s="8"/>
      <c r="AU22" s="8"/>
      <c r="AV22" s="8"/>
      <c r="AW22" s="9"/>
      <c r="AX22" s="8"/>
      <c r="AY22" s="10"/>
      <c r="AZ22" s="10"/>
      <c r="BA22" s="11"/>
      <c r="BB22" s="12"/>
      <c r="BC22" s="12"/>
      <c r="BD22" s="12"/>
      <c r="BE22" s="12"/>
      <c r="BF22" s="8"/>
      <c r="BG22" s="8"/>
      <c r="BH22" s="8"/>
      <c r="BP22" s="15"/>
      <c r="BQ22" s="15"/>
      <c r="BR22" s="15"/>
      <c r="BS22" s="16"/>
      <c r="BT22" s="15"/>
      <c r="BU22" s="15"/>
      <c r="BV22" s="15"/>
      <c r="BW22" s="15"/>
      <c r="BX22" s="15"/>
      <c r="BY22" s="15"/>
      <c r="BZ22" s="16"/>
      <c r="CA22" s="15"/>
      <c r="CB22" s="15"/>
      <c r="CC22" s="15"/>
      <c r="CD22" s="15"/>
      <c r="CE22" s="16"/>
      <c r="CG22" s="15"/>
      <c r="CH22" s="15"/>
      <c r="CI22" s="15"/>
      <c r="CJ22" s="15"/>
      <c r="CL22" s="15"/>
      <c r="CM22" s="15"/>
      <c r="CN22" s="15"/>
      <c r="CO22" s="15"/>
    </row>
    <row r="23" spans="1:93" ht="15" customHeight="1" x14ac:dyDescent="0.25">
      <c r="A23">
        <v>104</v>
      </c>
      <c r="E23" t="s">
        <v>21</v>
      </c>
      <c r="I23" t="s">
        <v>30</v>
      </c>
      <c r="V23" s="2">
        <v>3295</v>
      </c>
      <c r="Z23">
        <v>0</v>
      </c>
      <c r="AA23">
        <v>0</v>
      </c>
      <c r="AC23" s="2">
        <v>3295</v>
      </c>
      <c r="AE23" s="2">
        <v>3295</v>
      </c>
      <c r="AQ23">
        <v>0</v>
      </c>
      <c r="AR23" s="8">
        <v>6</v>
      </c>
      <c r="AS23" s="8">
        <f>A23</f>
        <v>104</v>
      </c>
      <c r="AT23" s="8" t="s">
        <v>207</v>
      </c>
      <c r="AU23" s="8" t="s">
        <v>208</v>
      </c>
      <c r="AV23" s="8" t="s">
        <v>209</v>
      </c>
      <c r="AW23" s="9">
        <v>420</v>
      </c>
      <c r="AX23" s="8"/>
      <c r="AY23" s="10">
        <v>1</v>
      </c>
      <c r="AZ23" s="10">
        <v>0</v>
      </c>
      <c r="BA23" s="11"/>
      <c r="BB23" s="12">
        <f>IFERROR(VALUE(V23),0)</f>
        <v>3295</v>
      </c>
      <c r="BC23" s="12">
        <v>0</v>
      </c>
      <c r="BD23" s="12">
        <v>0</v>
      </c>
      <c r="BE23" s="12">
        <v>0</v>
      </c>
      <c r="BF23" s="8" t="str">
        <f>IF(AS23="","",AV23&amp;" | "&amp;AT23&amp;" | "&amp;AW23)</f>
        <v>IL | Studio | 420</v>
      </c>
      <c r="BG23" s="8" t="s">
        <v>210</v>
      </c>
      <c r="BH23" s="8" t="s">
        <v>211</v>
      </c>
      <c r="BO23" t="s">
        <v>229</v>
      </c>
      <c r="BP23" s="15">
        <f t="array" ref="BP23">SUMPRODUCT(($BH$15:$BH$195="MC | Semi-Private")*($AY$15:$AY$195=1)*IFERROR(1/COUNTIFS($AS$15:$AS$195,$AS$15:$AS$195,$BH$15:$BH$195,"MC | Semi-Private",$AY$15:$AY$195,1),0))</f>
        <v>2</v>
      </c>
      <c r="BQ23" s="15">
        <f>COUNTIFS($BH$15:$BH$195,"MC | Semi-Private",$AY$15:$AY$195,1)</f>
        <v>4</v>
      </c>
      <c r="BR23" s="15">
        <f>COUNTIFS($BH$15:$BH$195,"MC | Semi-Private",$AY$15:$AY$195,1,$AZ$15:$AZ$195,1)</f>
        <v>4</v>
      </c>
      <c r="BS23" s="16">
        <f>IFERROR(BR23/BQ23,0)</f>
        <v>1</v>
      </c>
      <c r="BT23" s="15">
        <f>IFERROR(_xlfn.MINIFS($AW$15:$AW$195,$BH$15:$BH$195,"MC | Semi-Private",$AY$15:$AY$195,1),0)</f>
        <v>400</v>
      </c>
      <c r="BU23" s="15">
        <f>IFERROR(AVERAGEIFS($AW$15:$AW$195,$BH$15:$BH$195,"MC | Semi-Private",$AY$15:$AY$195,1),0)</f>
        <v>400</v>
      </c>
      <c r="BV23" s="15">
        <f>IFERROR(_xlfn.MAXIFS($AW$15:$AW$195,$BH$15:$BH$195,"MC | Semi-Private",$AY$15:$AY$195,1),0)</f>
        <v>400</v>
      </c>
      <c r="BW23" s="15">
        <f>IFERROR(AVERAGEIFS($BB$15:$BB$195,$BH$15:$BH$195,"MC | Semi-Private",$AY$15:$AY$195,1),0)</f>
        <v>5995</v>
      </c>
      <c r="BX23" s="15">
        <f>IFERROR(AVERAGEIFS($BB$15:$BB$195,$BH$15:$BH$195,"MC | Semi-Private",$AY$15:$AY$195,1,$AZ$15:$AZ$195,1),0)</f>
        <v>5995</v>
      </c>
      <c r="BY23" s="15">
        <f>IFERROR(AVERAGEIFS($BC$15:$BC$195,$BH$15:$BH$195,"MC | Semi-Private",$AY$15:$AY$195,1,$AZ$15:$AZ$195,1),0)</f>
        <v>5725</v>
      </c>
      <c r="BZ23" s="16">
        <f>IFERROR(BY23/BX23-1,0)</f>
        <v>-4.5037531276063358E-2</v>
      </c>
      <c r="CA23" s="15">
        <f>IFERROR(AVERAGEIFS($BD$15:$BD$195,$BH$15:$BH$195,"MC | Semi-Private",$AY$15:$AY$195,1),0)</f>
        <v>1200</v>
      </c>
      <c r="CB23" s="20">
        <v>5995</v>
      </c>
      <c r="CC23" s="15">
        <v>0</v>
      </c>
      <c r="CD23" s="15">
        <f>CB23+CC23</f>
        <v>5995</v>
      </c>
      <c r="CE23" s="16">
        <f>IFERROR(CD23/BY23-1,0)</f>
        <v>4.7161572052401679E-2</v>
      </c>
      <c r="CG23" s="15">
        <f>IFERROR(_xlfn.MINIFS($BC$15:$BC$195,$BH$15:$BH$195,"MC | Semi-Private",$AY$15:$AY$195,1,$AZ$15:$AZ$195,1,$BA$15:$BA$195,"&gt;="&amp;$CG$11,$BA$15:$BA$195,"&lt;="&amp;$CG$12),0)</f>
        <v>0</v>
      </c>
      <c r="CH23" s="15">
        <f>IFERROR(AVERAGEIFS($BC$15:$BC$195,$BH$15:$BH$195,"MC | Semi-Private",$AY$15:$AY$195,1,$AZ$15:$AZ$195,1,$BA$15:$BA$195,"&gt;="&amp;$CG$11,$BA$15:$BA$195,"&lt;="&amp;$CG$12),0)</f>
        <v>0</v>
      </c>
      <c r="CI23" s="15">
        <f>IFERROR(_xlfn.MAXIFS($BC$15:$BC$195,$BH$15:$BH$195,"MC | Semi-Private",$AY$15:$AY$195,1,$AZ$15:$AZ$195,1,$BA$15:$BA$195,"&gt;="&amp;$CG$11,$BA$15:$BA$195,"&lt;="&amp;$CG$12),0)</f>
        <v>0</v>
      </c>
      <c r="CJ23" s="15">
        <f>COUNTIFS($BH$15:$BH$195,"MC | Semi-Private",$AY$15:$AY$195,1,$AZ$15:$AZ$195,1,$BA$15:$BA$195,"&gt;="&amp;$CG$11,$BA$15:$BA$195,"&lt;="&amp;$CG$12)</f>
        <v>0</v>
      </c>
      <c r="CL23" s="15">
        <f>IFERROR(_xlfn.MINIFS($BC$15:$BC$195,$BH$15:$BH$195,"MC | Semi-Private",$AY$15:$AY$195,1,$AZ$15:$AZ$195,1,$BA$15:$BA$195,"&gt;="&amp;$CL$11,$BA$15:$BA$195,"&lt;="&amp;$CL$12),0)</f>
        <v>0</v>
      </c>
      <c r="CM23" s="15">
        <f>IFERROR(AVERAGEIFS($BC$15:$BC$195,$BH$15:$BH$195,"MC | Semi-Private",$AY$15:$AY$195,1,$AZ$15:$AZ$195,1,$BA$15:$BA$195,"&gt;="&amp;$CL$11,$BA$15:$BA$195,"&lt;="&amp;$CL$12),0)</f>
        <v>0</v>
      </c>
      <c r="CN23" s="15">
        <f>IFERROR(_xlfn.MAXIFS($BC$15:$BC$195,$BH$15:$BH$195,"MC | Semi-Private",$AY$15:$AY$195,1,$AZ$15:$AZ$195,1,$BA$15:$BA$195,"&gt;="&amp;$CL$11,$BA$15:$BA$195,"&lt;="&amp;$CL$12),0)</f>
        <v>0</v>
      </c>
      <c r="CO23" s="15">
        <f>COUNTIFS($BH$15:$BH$195,"MC | Semi-Private",$AY$15:$AY$195,1,$AZ$15:$AZ$195,1,$BA$15:$BA$195,"&gt;="&amp;$CL$11,$BA$15:$BA$195,"&lt;="&amp;$CL$12)</f>
        <v>0</v>
      </c>
    </row>
    <row r="24" spans="1:93" ht="15" customHeight="1" x14ac:dyDescent="0.25">
      <c r="I24" t="s">
        <v>31</v>
      </c>
      <c r="AQ24">
        <v>0</v>
      </c>
      <c r="AR24" s="8"/>
      <c r="AS24" s="8"/>
      <c r="AT24" s="8"/>
      <c r="AU24" s="8"/>
      <c r="AV24" s="8"/>
      <c r="AW24" s="9"/>
      <c r="AX24" s="8"/>
      <c r="AY24" s="10"/>
      <c r="AZ24" s="10"/>
      <c r="BA24" s="11"/>
      <c r="BB24" s="12"/>
      <c r="BC24" s="12"/>
      <c r="BD24" s="12"/>
      <c r="BE24" s="12"/>
      <c r="BF24" s="8"/>
      <c r="BG24" s="8"/>
      <c r="BH24" s="8"/>
      <c r="BO24" t="s">
        <v>226</v>
      </c>
      <c r="BP24" s="15">
        <f t="array" ref="BP24">SUMPRODUCT(($BH$15:$BH$195="MC | Private")*($AY$15:$AY$195=1)*IFERROR(1/COUNTIFS($AS$15:$AS$195,$AS$15:$AS$195,$BH$15:$BH$195,"MC | Private",$AY$15:$AY$195,1),0))</f>
        <v>12</v>
      </c>
      <c r="BQ24" s="15">
        <f>COUNTIFS($BH$15:$BH$195,"MC | Private",$AY$15:$AY$195,1)</f>
        <v>12</v>
      </c>
      <c r="BR24" s="15">
        <f>COUNTIFS($BH$15:$BH$195,"MC | Private",$AY$15:$AY$195,1,$AZ$15:$AZ$195,1)</f>
        <v>11</v>
      </c>
      <c r="BS24" s="16">
        <f>IFERROR(BR24/BQ24,0)</f>
        <v>0.91666666666666663</v>
      </c>
      <c r="BT24" s="15">
        <f>IFERROR(_xlfn.MINIFS($AW$15:$AW$195,$BH$15:$BH$195,"MC | Private",$AY$15:$AY$195,1),0)</f>
        <v>320</v>
      </c>
      <c r="BU24" s="15">
        <f>IFERROR(AVERAGEIFS($AW$15:$AW$195,$BH$15:$BH$195,"MC | Private",$AY$15:$AY$195,1),0)</f>
        <v>320</v>
      </c>
      <c r="BV24" s="15">
        <f>IFERROR(_xlfn.MAXIFS($AW$15:$AW$195,$BH$15:$BH$195,"MC | Private",$AY$15:$AY$195,1),0)</f>
        <v>320</v>
      </c>
      <c r="BW24" s="15">
        <f>IFERROR(AVERAGEIFS($BB$15:$BB$195,$BH$15:$BH$195,"MC | Private",$AY$15:$AY$195,1),0)</f>
        <v>7495</v>
      </c>
      <c r="BX24" s="15">
        <f>IFERROR(AVERAGEIFS($BB$15:$BB$195,$BH$15:$BH$195,"MC | Private",$AY$15:$AY$195,1,$AZ$15:$AZ$195,1),0)</f>
        <v>7495</v>
      </c>
      <c r="BY24" s="15">
        <f>IFERROR(AVERAGEIFS($BC$15:$BC$195,$BH$15:$BH$195,"MC | Private",$AY$15:$AY$195,1,$AZ$15:$AZ$195,1),0)</f>
        <v>7154.090909090909</v>
      </c>
      <c r="BZ24" s="16">
        <f>IFERROR(BY24/BX24-1,0)</f>
        <v>-4.5484868700345737E-2</v>
      </c>
      <c r="CA24" s="15">
        <f>IFERROR(AVERAGEIFS($BD$15:$BD$195,$BH$15:$BH$195,"MC | Private",$AY$15:$AY$195,1),0)</f>
        <v>1100</v>
      </c>
      <c r="CB24" s="20">
        <v>7495</v>
      </c>
      <c r="CC24" s="15">
        <v>0</v>
      </c>
      <c r="CD24" s="15">
        <f>CB24+CC24</f>
        <v>7495</v>
      </c>
      <c r="CE24" s="16">
        <f>IFERROR(CD24/BY24-1,0)</f>
        <v>4.7652328610458206E-2</v>
      </c>
      <c r="CG24" s="15">
        <f>IFERROR(_xlfn.MINIFS($BC$15:$BC$195,$BH$15:$BH$195,"MC | Private",$AY$15:$AY$195,1,$AZ$15:$AZ$195,1,$BA$15:$BA$195,"&gt;="&amp;$CG$11,$BA$15:$BA$195,"&lt;="&amp;$CG$12),0)</f>
        <v>7420</v>
      </c>
      <c r="CH24" s="15">
        <f>IFERROR(AVERAGEIFS($BC$15:$BC$195,$BH$15:$BH$195,"MC | Private",$AY$15:$AY$195,1,$AZ$15:$AZ$195,1,$BA$15:$BA$195,"&gt;="&amp;$CG$11,$BA$15:$BA$195,"&lt;="&amp;$CG$12),0)</f>
        <v>7457.5</v>
      </c>
      <c r="CI24" s="15">
        <f>IFERROR(_xlfn.MAXIFS($BC$15:$BC$195,$BH$15:$BH$195,"MC | Private",$AY$15:$AY$195,1,$AZ$15:$AZ$195,1,$BA$15:$BA$195,"&gt;="&amp;$CG$11,$BA$15:$BA$195,"&lt;="&amp;$CG$12),0)</f>
        <v>7495</v>
      </c>
      <c r="CJ24" s="15">
        <f>COUNTIFS($BH$15:$BH$195,"MC | Private",$AY$15:$AY$195,1,$AZ$15:$AZ$195,1,$BA$15:$BA$195,"&gt;="&amp;$CG$11,$BA$15:$BA$195,"&lt;="&amp;$CG$12)</f>
        <v>2</v>
      </c>
      <c r="CL24" s="15">
        <f>IFERROR(_xlfn.MINIFS($BC$15:$BC$195,$BH$15:$BH$195,"MC | Private",$AY$15:$AY$195,1,$AZ$15:$AZ$195,1,$BA$15:$BA$195,"&gt;="&amp;$CL$11,$BA$15:$BA$195,"&lt;="&amp;$CL$12),0)</f>
        <v>7495</v>
      </c>
      <c r="CM24" s="15">
        <f>IFERROR(AVERAGEIFS($BC$15:$BC$195,$BH$15:$BH$195,"MC | Private",$AY$15:$AY$195,1,$AZ$15:$AZ$195,1,$BA$15:$BA$195,"&gt;="&amp;$CL$11,$BA$15:$BA$195,"&lt;="&amp;$CL$12),0)</f>
        <v>7495</v>
      </c>
      <c r="CN24" s="15">
        <f>IFERROR(_xlfn.MAXIFS($BC$15:$BC$195,$BH$15:$BH$195,"MC | Private",$AY$15:$AY$195,1,$AZ$15:$AZ$195,1,$BA$15:$BA$195,"&gt;="&amp;$CL$11,$BA$15:$BA$195,"&lt;="&amp;$CL$12),0)</f>
        <v>7495</v>
      </c>
      <c r="CO24" s="15">
        <f>COUNTIFS($BH$15:$BH$195,"MC | Private",$AY$15:$AY$195,1,$AZ$15:$AZ$195,1,$BA$15:$BA$195,"&gt;="&amp;$CL$11,$BA$15:$BA$195,"&lt;="&amp;$CL$12)</f>
        <v>1</v>
      </c>
    </row>
    <row r="25" spans="1:93" ht="15" customHeight="1" x14ac:dyDescent="0.25">
      <c r="A25">
        <v>105</v>
      </c>
      <c r="E25" t="s">
        <v>21</v>
      </c>
      <c r="I25" t="s">
        <v>32</v>
      </c>
      <c r="N25" s="1">
        <v>44847</v>
      </c>
      <c r="R25" s="1">
        <v>44847</v>
      </c>
      <c r="V25" s="2">
        <v>3295</v>
      </c>
      <c r="Z25" s="2">
        <v>3130</v>
      </c>
      <c r="AA25">
        <v>-165</v>
      </c>
      <c r="AC25">
        <v>0</v>
      </c>
      <c r="AE25">
        <v>-165</v>
      </c>
      <c r="AG25">
        <v>0</v>
      </c>
      <c r="AI25">
        <v>0</v>
      </c>
      <c r="AK25">
        <v>0</v>
      </c>
      <c r="AN25">
        <v>0</v>
      </c>
      <c r="AQ25" s="2">
        <v>3130</v>
      </c>
      <c r="AR25" s="8">
        <v>7</v>
      </c>
      <c r="AS25" s="8">
        <f>A25</f>
        <v>105</v>
      </c>
      <c r="AT25" s="8" t="s">
        <v>207</v>
      </c>
      <c r="AU25" s="8" t="s">
        <v>208</v>
      </c>
      <c r="AV25" s="8" t="s">
        <v>209</v>
      </c>
      <c r="AW25" s="9">
        <v>420</v>
      </c>
      <c r="AX25" s="8"/>
      <c r="AY25" s="10">
        <v>1</v>
      </c>
      <c r="AZ25" s="10">
        <v>1</v>
      </c>
      <c r="BA25" s="11">
        <v>44847</v>
      </c>
      <c r="BB25" s="12">
        <f>IFERROR(VALUE(V25),0)</f>
        <v>3295</v>
      </c>
      <c r="BC25" s="12">
        <f>IFERROR(VALUE(Z25),0)</f>
        <v>3130</v>
      </c>
      <c r="BD25" s="12">
        <f>IFERROR(VALUE(AI25),0)</f>
        <v>0</v>
      </c>
      <c r="BE25" s="12">
        <f>IFERROR(VALUE(AG25),0)</f>
        <v>0</v>
      </c>
      <c r="BF25" s="8" t="str">
        <f>IF(AS25="","",AV25&amp;" | "&amp;AT25&amp;" | "&amp;AW25)</f>
        <v>IL | Studio | 420</v>
      </c>
      <c r="BG25" s="8" t="s">
        <v>210</v>
      </c>
      <c r="BH25" s="8" t="s">
        <v>211</v>
      </c>
      <c r="BO25" s="17" t="s">
        <v>266</v>
      </c>
      <c r="BP25" s="18">
        <f>SUM(BP23:BP24)</f>
        <v>14</v>
      </c>
      <c r="BQ25" s="18">
        <f>COUNTIFS($AV$15:$AV$195,"MC",$AY$15:$AY$195,1)</f>
        <v>16</v>
      </c>
      <c r="BR25" s="18">
        <f>COUNTIFS($AV$15:$AV$195,"MC",$AY$15:$AY$195,1,$AZ$15:$AZ$195,1)</f>
        <v>15</v>
      </c>
      <c r="BS25" s="19">
        <f>IFERROR(BR25/BQ25,0)</f>
        <v>0.9375</v>
      </c>
      <c r="BT25" s="18">
        <f>IFERROR(_xlfn.MINIFS($AW$15:$AW$195,$AV$15:$AV$195,"MC",$AY$15:$AY$195,1),0)</f>
        <v>320</v>
      </c>
      <c r="BU25" s="18">
        <f>IFERROR(AVERAGEIFS($AW$15:$AW$195,$AV$15:$AV$195,"MC",$AY$15:$AY$195,1),0)</f>
        <v>340</v>
      </c>
      <c r="BV25" s="18">
        <f>IFERROR(_xlfn.MAXIFS($AW$15:$AW$195,$AV$15:$AV$195,"MC",$AY$15:$AY$195,1),0)</f>
        <v>400</v>
      </c>
      <c r="BW25" s="18">
        <f>IFERROR(AVERAGEIFS($BB$15:$BB$195,$AV$15:$AV$195,"MC",$AY$15:$AY$195,1),0)</f>
        <v>7120</v>
      </c>
      <c r="BX25" s="18">
        <f>IFERROR(AVERAGEIFS($BB$15:$BB$195,$AV$15:$AV$195,"MC",$AY$15:$AY$195,1,$AZ$15:$AZ$195,1),0)</f>
        <v>7095</v>
      </c>
      <c r="BY25" s="18">
        <f>IFERROR(AVERAGEIFS($BC$15:$BC$195,$AV$15:$AV$195,"MC",$AY$15:$AY$195,1,$AZ$15:$AZ$195,1),0)</f>
        <v>6773</v>
      </c>
      <c r="BZ25" s="19">
        <f>IFERROR(BY25/BX25-1,0)</f>
        <v>-4.5384073291049987E-2</v>
      </c>
      <c r="CA25" s="18">
        <f>IFERROR(AVERAGEIFS($BD$15:$BD$195,$AV$15:$AV$195,"MC",$AY$15:$AY$195,1),0)</f>
        <v>1125</v>
      </c>
      <c r="CB25" s="18">
        <f>IFERROR(SUMPRODUCT(CB23:CB24,BQ23:BQ24)/BQ25,0)</f>
        <v>7120</v>
      </c>
      <c r="CC25" s="18">
        <f>IFERROR(SUMPRODUCT(CC23:CC24,BQ23:BQ24)/BQ25,0)</f>
        <v>0</v>
      </c>
      <c r="CD25" s="18">
        <f>CB25+CC25</f>
        <v>7120</v>
      </c>
      <c r="CE25" s="19">
        <f>IFERROR(CD25/BY25-1,0)</f>
        <v>5.1232836261627002E-2</v>
      </c>
      <c r="CG25" s="18">
        <f>IFERROR(_xlfn.MINIFS($BC$15:$BC$195,$AV$15:$AV$195,"MC",$AY$15:$AY$195,1,$AZ$15:$AZ$195,1,$BA$15:$BA$195,"&gt;="&amp;$CG$11,$BA$15:$BA$195,"&lt;="&amp;$CG$12),0)</f>
        <v>7420</v>
      </c>
      <c r="CH25" s="18">
        <f>IFERROR(AVERAGEIFS($BC$15:$BC$195,$AV$15:$AV$195,"MC",$AY$15:$AY$195,1,$AZ$15:$AZ$195,1,$BA$15:$BA$195,"&gt;="&amp;$CG$11,$BA$15:$BA$195,"&lt;="&amp;$CG$12),0)</f>
        <v>7457.5</v>
      </c>
      <c r="CI25" s="18">
        <f>IFERROR(_xlfn.MAXIFS($BC$15:$BC$195,$AV$15:$AV$195,"MC",$AY$15:$AY$195,1,$AZ$15:$AZ$195,1,$BA$15:$BA$195,"&gt;="&amp;$CG$11,$BA$15:$BA$195,"&lt;="&amp;$CG$12),0)</f>
        <v>7495</v>
      </c>
      <c r="CJ25" s="18">
        <f>COUNTIFS($AV$15:$AV$195,"MC",$AY$15:$AY$195,1,$AZ$15:$AZ$195,1,$BA$15:$BA$195,"&gt;="&amp;$CG$11,$BA$15:$BA$195,"&lt;="&amp;$CG$12)</f>
        <v>2</v>
      </c>
      <c r="CL25" s="18">
        <f>IFERROR(_xlfn.MINIFS($BC$15:$BC$195,$AV$15:$AV$195,"MC",$AY$15:$AY$195,1,$AZ$15:$AZ$195,1,$BA$15:$BA$195,"&gt;="&amp;$CL$11,$BA$15:$BA$195,"&lt;="&amp;$CL$12),0)</f>
        <v>7495</v>
      </c>
      <c r="CM25" s="18">
        <f>IFERROR(AVERAGEIFS($BC$15:$BC$195,$AV$15:$AV$195,"MC",$AY$15:$AY$195,1,$AZ$15:$AZ$195,1,$BA$15:$BA$195,"&gt;="&amp;$CL$11,$BA$15:$BA$195,"&lt;="&amp;$CL$12),0)</f>
        <v>7495</v>
      </c>
      <c r="CN25" s="18">
        <f>IFERROR(_xlfn.MAXIFS($BC$15:$BC$195,$AV$15:$AV$195,"MC",$AY$15:$AY$195,1,$AZ$15:$AZ$195,1,$BA$15:$BA$195,"&gt;="&amp;$CL$11,$BA$15:$BA$195,"&lt;="&amp;$CL$12),0)</f>
        <v>7495</v>
      </c>
      <c r="CO25" s="18">
        <f>COUNTIFS($AV$15:$AV$195,"MC",$AY$15:$AY$195,1,$AZ$15:$AZ$195,1,$BA$15:$BA$195,"&gt;="&amp;$CL$11,$BA$15:$BA$195,"&lt;="&amp;$CL$12)</f>
        <v>1</v>
      </c>
    </row>
    <row r="26" spans="1:93" ht="15" customHeight="1" x14ac:dyDescent="0.25">
      <c r="I26" t="s">
        <v>33</v>
      </c>
      <c r="AQ26" s="2">
        <v>3130</v>
      </c>
      <c r="AR26" s="8"/>
      <c r="AS26" s="8"/>
      <c r="AT26" s="8"/>
      <c r="AU26" s="8"/>
      <c r="AV26" s="8"/>
      <c r="AW26" s="9"/>
      <c r="AX26" s="8"/>
      <c r="AY26" s="10"/>
      <c r="AZ26" s="10"/>
      <c r="BA26" s="11"/>
      <c r="BB26" s="12"/>
      <c r="BC26" s="12"/>
      <c r="BD26" s="12"/>
      <c r="BE26" s="12"/>
      <c r="BF26" s="8"/>
      <c r="BG26" s="8"/>
      <c r="BH26" s="8"/>
      <c r="BP26" s="15"/>
      <c r="BQ26" s="15"/>
      <c r="BR26" s="15"/>
      <c r="BS26" s="16"/>
      <c r="BT26" s="15"/>
      <c r="BU26" s="15"/>
      <c r="BV26" s="15"/>
      <c r="BW26" s="15"/>
      <c r="BX26" s="15"/>
      <c r="BY26" s="15"/>
      <c r="BZ26" s="16"/>
      <c r="CA26" s="15"/>
      <c r="CB26" s="15"/>
      <c r="CC26" s="15"/>
      <c r="CD26" s="15"/>
      <c r="CE26" s="16"/>
      <c r="CG26" s="15"/>
      <c r="CH26" s="15"/>
      <c r="CI26" s="15"/>
      <c r="CJ26" s="15"/>
      <c r="CL26" s="15"/>
      <c r="CM26" s="15"/>
      <c r="CN26" s="15"/>
      <c r="CO26" s="15"/>
    </row>
    <row r="27" spans="1:93" ht="15" customHeight="1" x14ac:dyDescent="0.25">
      <c r="A27">
        <v>106</v>
      </c>
      <c r="E27" t="s">
        <v>21</v>
      </c>
      <c r="I27" t="s">
        <v>34</v>
      </c>
      <c r="N27" s="1">
        <v>46120</v>
      </c>
      <c r="R27" s="1">
        <v>46120</v>
      </c>
      <c r="V27" s="2">
        <v>3295</v>
      </c>
      <c r="Z27" s="2">
        <v>3295</v>
      </c>
      <c r="AA27">
        <v>0</v>
      </c>
      <c r="AC27">
        <v>0</v>
      </c>
      <c r="AE27">
        <v>0</v>
      </c>
      <c r="AG27">
        <v>0</v>
      </c>
      <c r="AI27">
        <v>0</v>
      </c>
      <c r="AK27">
        <v>0</v>
      </c>
      <c r="AN27">
        <v>0</v>
      </c>
      <c r="AQ27" s="2">
        <v>3295</v>
      </c>
      <c r="AR27" s="8">
        <v>8</v>
      </c>
      <c r="AS27" s="8">
        <f>A27</f>
        <v>106</v>
      </c>
      <c r="AT27" s="8" t="s">
        <v>207</v>
      </c>
      <c r="AU27" s="8" t="s">
        <v>208</v>
      </c>
      <c r="AV27" s="8" t="s">
        <v>209</v>
      </c>
      <c r="AW27" s="9">
        <v>420</v>
      </c>
      <c r="AX27" s="8"/>
      <c r="AY27" s="10">
        <v>1</v>
      </c>
      <c r="AZ27" s="10">
        <v>1</v>
      </c>
      <c r="BA27" s="11">
        <v>46120</v>
      </c>
      <c r="BB27" s="12">
        <f>IFERROR(VALUE(V27),0)</f>
        <v>3295</v>
      </c>
      <c r="BC27" s="12">
        <f>IFERROR(VALUE(Z27),0)</f>
        <v>3295</v>
      </c>
      <c r="BD27" s="12">
        <f>IFERROR(VALUE(AI27),0)</f>
        <v>0</v>
      </c>
      <c r="BE27" s="12">
        <f>IFERROR(VALUE(AG27),0)</f>
        <v>0</v>
      </c>
      <c r="BF27" s="8" t="str">
        <f>IF(AS27="","",AV27&amp;" | "&amp;AT27&amp;" | "&amp;AW27)</f>
        <v>IL | Studio | 420</v>
      </c>
      <c r="BG27" s="8" t="s">
        <v>210</v>
      </c>
      <c r="BH27" s="8" t="s">
        <v>211</v>
      </c>
      <c r="BO27" s="17" t="s">
        <v>267</v>
      </c>
      <c r="BP27" s="18">
        <f>BP17+BP21+BP25</f>
        <v>84</v>
      </c>
      <c r="BQ27" s="18">
        <f>COUNTIFS($AY$15:$AY$195,1)</f>
        <v>86</v>
      </c>
      <c r="BR27" s="18">
        <f>COUNTIFS($AY$15:$AY$195,1,$AZ$15:$AZ$195,1)</f>
        <v>80</v>
      </c>
      <c r="BS27" s="19">
        <f>IFERROR(BR27/BQ27,0)</f>
        <v>0.93023255813953487</v>
      </c>
      <c r="BT27" s="18">
        <f>IFERROR(_xlfn.MINIFS($AW$15:$AW$195,$AY$15:$AY$195,1),0)</f>
        <v>320</v>
      </c>
      <c r="BU27" s="18">
        <f>IFERROR(AVERAGEIFS($AW$15:$AW$195,$AY$15:$AY$195,1),0)</f>
        <v>512.09302325581393</v>
      </c>
      <c r="BV27" s="18">
        <f>IFERROR(_xlfn.MAXIFS($AW$15:$AW$195,$AY$15:$AY$195,1),0)</f>
        <v>850</v>
      </c>
      <c r="BW27" s="18">
        <f>IFERROR(AVERAGEIFS($BB$15:$BB$195,$AY$15:$AY$195,1),0)</f>
        <v>4853.1395348837214</v>
      </c>
      <c r="BX27" s="18">
        <f>IFERROR(AVERAGEIFS($BB$15:$BB$195,$AY$15:$AY$195,1,$AZ$15:$AZ$195,1),0)</f>
        <v>4852.5</v>
      </c>
      <c r="BY27" s="18">
        <f>IFERROR(AVERAGEIFS($BC$15:$BC$195,$AY$15:$AY$195,1,$AZ$15:$AZ$195,1),0)</f>
        <v>4638.1875</v>
      </c>
      <c r="BZ27" s="19">
        <f>IFERROR(BY27/BX27-1,0)</f>
        <v>-4.4165378670788291E-2</v>
      </c>
      <c r="CA27" s="18">
        <f>IFERROR(SUMIFS($BD$15:$BD$195,$AY$15:$AY$195,1)/BQ27,0)</f>
        <v>530.93023255813955</v>
      </c>
      <c r="CB27" s="18">
        <f>IFERROR((CB14*BQ14+CB15*BQ15+CB16*BQ16+CB19*BQ19+CB20*BQ20+CB23*BQ23+CB24*BQ24)/BQ27,0)</f>
        <v>4853.1395348837214</v>
      </c>
      <c r="CC27" s="18">
        <f>IFERROR((CC14*BQ14+CC15*BQ15+CC16*BQ16+CC19*BQ19+CC20*BQ20+CC23*BQ23+CC24*BQ24)/BQ27,0)</f>
        <v>0</v>
      </c>
      <c r="CD27" s="18">
        <f>CB27+CC27</f>
        <v>4853.1395348837214</v>
      </c>
      <c r="CE27" s="19">
        <f>IFERROR(CD27/BY27-1,0)</f>
        <v>4.6343972701345271E-2</v>
      </c>
      <c r="CG27" s="18">
        <f>IFERROR(_xlfn.MINIFS($BC$15:$BC$195,$AY$15:$AY$195,1,$AZ$15:$AZ$195,1,$BA$15:$BA$195,"&gt;="&amp;$CG$11,$BA$15:$BA$195,"&lt;="&amp;$CG$12),0)</f>
        <v>3295</v>
      </c>
      <c r="CH27" s="18">
        <f>IFERROR(AVERAGEIFS($BC$15:$BC$195,$AY$15:$AY$195,1,$AZ$15:$AZ$195,1,$BA$15:$BA$195,"&gt;="&amp;$CG$11,$BA$15:$BA$195,"&lt;="&amp;$CG$12),0)</f>
        <v>4850</v>
      </c>
      <c r="CI27" s="18">
        <f>IFERROR(_xlfn.MAXIFS($BC$15:$BC$195,$AY$15:$AY$195,1,$AZ$15:$AZ$195,1,$BA$15:$BA$195,"&gt;="&amp;$CG$11,$BA$15:$BA$195,"&lt;="&amp;$CG$12),0)</f>
        <v>7495</v>
      </c>
      <c r="CJ27" s="18">
        <f>COUNTIFS($AY$15:$AY$195,1,$AZ$15:$AZ$195,1,$BA$15:$BA$195,"&gt;="&amp;$CG$11,$BA$15:$BA$195,"&lt;="&amp;$CG$12)</f>
        <v>13</v>
      </c>
      <c r="CL27" s="18">
        <f>IFERROR(_xlfn.MINIFS($BC$15:$BC$195,$AY$15:$AY$195,1,$AZ$15:$AZ$195,1,$BA$15:$BA$195,"&gt;="&amp;$CL$11,$BA$15:$BA$195,"&lt;="&amp;$CL$12),0)</f>
        <v>3295</v>
      </c>
      <c r="CM27" s="18">
        <f>IFERROR(AVERAGEIFS($BC$15:$BC$195,$AY$15:$AY$195,1,$AZ$15:$AZ$195,1,$BA$15:$BA$195,"&gt;="&amp;$CL$11,$BA$15:$BA$195,"&lt;="&amp;$CL$12),0)</f>
        <v>5055</v>
      </c>
      <c r="CN27" s="18">
        <f>IFERROR(_xlfn.MAXIFS($BC$15:$BC$195,$AY$15:$AY$195,1,$AZ$15:$AZ$195,1,$BA$15:$BA$195,"&gt;="&amp;$CL$11,$BA$15:$BA$195,"&lt;="&amp;$CL$12),0)</f>
        <v>7495</v>
      </c>
      <c r="CO27" s="18">
        <f>COUNTIFS($AY$15:$AY$195,1,$AZ$15:$AZ$195,1,$BA$15:$BA$195,"&gt;="&amp;$CL$11,$BA$15:$BA$195,"&lt;="&amp;$CL$12)</f>
        <v>5</v>
      </c>
    </row>
    <row r="28" spans="1:93" ht="15" customHeight="1" x14ac:dyDescent="0.25">
      <c r="I28" t="s">
        <v>35</v>
      </c>
      <c r="AQ28" s="2">
        <v>3295</v>
      </c>
      <c r="AR28" s="8"/>
      <c r="AS28" s="8"/>
      <c r="AT28" s="8"/>
      <c r="AU28" s="8"/>
      <c r="AV28" s="8"/>
      <c r="AW28" s="9"/>
      <c r="AX28" s="8"/>
      <c r="AY28" s="10"/>
      <c r="AZ28" s="10"/>
      <c r="BA28" s="11"/>
      <c r="BB28" s="12"/>
      <c r="BC28" s="12"/>
      <c r="BD28" s="12"/>
      <c r="BE28" s="12"/>
      <c r="BF28" s="8"/>
      <c r="BG28" s="8"/>
      <c r="BH28" s="8"/>
    </row>
    <row r="29" spans="1:93" ht="15" customHeight="1" x14ac:dyDescent="0.25">
      <c r="A29">
        <v>107</v>
      </c>
      <c r="E29" t="s">
        <v>21</v>
      </c>
      <c r="I29" t="s">
        <v>36</v>
      </c>
      <c r="N29" s="1">
        <v>45638</v>
      </c>
      <c r="R29" s="1">
        <v>45638</v>
      </c>
      <c r="V29" s="2">
        <v>3295</v>
      </c>
      <c r="Z29" s="2">
        <v>3195</v>
      </c>
      <c r="AA29">
        <v>-100</v>
      </c>
      <c r="AC29">
        <v>0</v>
      </c>
      <c r="AE29">
        <v>-100</v>
      </c>
      <c r="AG29">
        <v>0</v>
      </c>
      <c r="AI29">
        <v>0</v>
      </c>
      <c r="AK29">
        <v>0</v>
      </c>
      <c r="AN29">
        <v>0</v>
      </c>
      <c r="AQ29" s="2">
        <v>3195</v>
      </c>
      <c r="AR29" s="8">
        <v>9</v>
      </c>
      <c r="AS29" s="8">
        <f>A29</f>
        <v>107</v>
      </c>
      <c r="AT29" s="8" t="s">
        <v>207</v>
      </c>
      <c r="AU29" s="8" t="s">
        <v>208</v>
      </c>
      <c r="AV29" s="8" t="s">
        <v>209</v>
      </c>
      <c r="AW29" s="9">
        <v>420</v>
      </c>
      <c r="AX29" s="8"/>
      <c r="AY29" s="10">
        <v>1</v>
      </c>
      <c r="AZ29" s="10">
        <v>1</v>
      </c>
      <c r="BA29" s="11">
        <v>45638</v>
      </c>
      <c r="BB29" s="12">
        <f>IFERROR(VALUE(V29),0)</f>
        <v>3295</v>
      </c>
      <c r="BC29" s="12">
        <f>IFERROR(VALUE(Z29),0)</f>
        <v>3195</v>
      </c>
      <c r="BD29" s="12">
        <f>IFERROR(VALUE(AI29),0)</f>
        <v>0</v>
      </c>
      <c r="BE29" s="12">
        <f>IFERROR(VALUE(AG29),0)</f>
        <v>0</v>
      </c>
      <c r="BF29" s="8" t="str">
        <f>IF(AS29="","",AV29&amp;" | "&amp;AT29&amp;" | "&amp;AW29)</f>
        <v>IL | Studio | 420</v>
      </c>
      <c r="BG29" s="8" t="s">
        <v>210</v>
      </c>
      <c r="BH29" s="8" t="s">
        <v>211</v>
      </c>
      <c r="BO29" s="22" t="s">
        <v>268</v>
      </c>
      <c r="BP29" s="21" t="s">
        <v>209</v>
      </c>
      <c r="BQ29" s="21" t="s">
        <v>219</v>
      </c>
      <c r="BR29" s="21" t="s">
        <v>225</v>
      </c>
      <c r="BS29" s="21" t="s">
        <v>267</v>
      </c>
    </row>
    <row r="30" spans="1:93" ht="15" customHeight="1" x14ac:dyDescent="0.25">
      <c r="I30" t="s">
        <v>37</v>
      </c>
      <c r="AQ30" s="2">
        <v>3195</v>
      </c>
      <c r="AR30" s="8"/>
      <c r="AS30" s="8"/>
      <c r="AT30" s="8"/>
      <c r="AU30" s="8"/>
      <c r="AV30" s="8"/>
      <c r="AW30" s="9"/>
      <c r="AX30" s="8"/>
      <c r="AY30" s="10"/>
      <c r="AZ30" s="10"/>
      <c r="BA30" s="11"/>
      <c r="BB30" s="12"/>
      <c r="BC30" s="12"/>
      <c r="BD30" s="12"/>
      <c r="BE30" s="12"/>
      <c r="BF30" s="8"/>
      <c r="BG30" s="8"/>
      <c r="BH30" s="8"/>
      <c r="BO30" t="s">
        <v>269</v>
      </c>
      <c r="BP30" s="15">
        <f>COUNTIFS($AV$15:$AV$195,"IL",$BE$15:$BE$195,"&gt;0")</f>
        <v>5</v>
      </c>
      <c r="BQ30" s="15">
        <f>COUNTIFS($AV$15:$AV$195,"AL",$BE$15:$BE$195,"&gt;0")</f>
        <v>3</v>
      </c>
      <c r="BR30" s="15">
        <f>COUNTIFS($AV$15:$AV$195,"MC",$BE$15:$BE$195,"&gt;0")</f>
        <v>0</v>
      </c>
      <c r="BS30" s="15">
        <f>SUM(BP30:BR30)</f>
        <v>8</v>
      </c>
    </row>
    <row r="31" spans="1:93" ht="15" customHeight="1" x14ac:dyDescent="0.25">
      <c r="A31">
        <v>108</v>
      </c>
      <c r="E31" t="s">
        <v>21</v>
      </c>
      <c r="I31" t="s">
        <v>38</v>
      </c>
      <c r="N31" s="1">
        <v>45863</v>
      </c>
      <c r="R31" s="1">
        <v>45863</v>
      </c>
      <c r="V31" s="2">
        <v>3295</v>
      </c>
      <c r="Z31" s="2">
        <v>3230</v>
      </c>
      <c r="AA31">
        <v>-65</v>
      </c>
      <c r="AC31">
        <v>0</v>
      </c>
      <c r="AE31">
        <v>-65</v>
      </c>
      <c r="AG31">
        <v>0</v>
      </c>
      <c r="AI31">
        <v>0</v>
      </c>
      <c r="AK31">
        <v>0</v>
      </c>
      <c r="AN31">
        <v>0</v>
      </c>
      <c r="AQ31" s="2">
        <v>3230</v>
      </c>
      <c r="AR31" s="8">
        <v>10</v>
      </c>
      <c r="AS31" s="8">
        <f>A31</f>
        <v>108</v>
      </c>
      <c r="AT31" s="8" t="s">
        <v>207</v>
      </c>
      <c r="AU31" s="8" t="s">
        <v>208</v>
      </c>
      <c r="AV31" s="8" t="s">
        <v>209</v>
      </c>
      <c r="AW31" s="9">
        <v>420</v>
      </c>
      <c r="AX31" s="8"/>
      <c r="AY31" s="10">
        <v>1</v>
      </c>
      <c r="AZ31" s="10">
        <v>1</v>
      </c>
      <c r="BA31" s="11">
        <v>45863</v>
      </c>
      <c r="BB31" s="12">
        <f>IFERROR(VALUE(V31),0)</f>
        <v>3295</v>
      </c>
      <c r="BC31" s="12">
        <f>IFERROR(VALUE(Z31),0)</f>
        <v>3230</v>
      </c>
      <c r="BD31" s="12">
        <f>IFERROR(VALUE(AI31),0)</f>
        <v>0</v>
      </c>
      <c r="BE31" s="12">
        <f>IFERROR(VALUE(AG31),0)</f>
        <v>0</v>
      </c>
      <c r="BF31" s="8" t="str">
        <f>IF(AS31="","",AV31&amp;" | "&amp;AT31&amp;" | "&amp;AW31)</f>
        <v>IL | Studio | 420</v>
      </c>
      <c r="BG31" s="8" t="s">
        <v>210</v>
      </c>
      <c r="BH31" s="8" t="s">
        <v>211</v>
      </c>
      <c r="BO31" t="s">
        <v>270</v>
      </c>
      <c r="BP31" s="16">
        <f>IFERROR(BP30/COUNTIFS($AV$15:$AV$195,"IL",$AY$15:$AY$195,1),0)</f>
        <v>0.125</v>
      </c>
      <c r="BQ31" s="16">
        <f>IFERROR(BQ30/COUNTIFS($AV$15:$AV$195,"AL",$AY$15:$AY$195,1),0)</f>
        <v>0.1</v>
      </c>
      <c r="BR31" s="16">
        <f>IFERROR(BR30/COUNTIFS($AV$15:$AV$195,"MC",$AY$15:$AY$195,1),0)</f>
        <v>0</v>
      </c>
      <c r="BS31" s="16">
        <f>IFERROR(BS30/COUNTIFS($AY$15:$AY$195,1),0)</f>
        <v>9.3023255813953487E-2</v>
      </c>
    </row>
    <row r="32" spans="1:93" ht="15" customHeight="1" x14ac:dyDescent="0.25">
      <c r="I32" t="s">
        <v>39</v>
      </c>
      <c r="AQ32" s="2">
        <v>3230</v>
      </c>
      <c r="AR32" s="8"/>
      <c r="AS32" s="8"/>
      <c r="AT32" s="8"/>
      <c r="AU32" s="8"/>
      <c r="AV32" s="8"/>
      <c r="AW32" s="9"/>
      <c r="AX32" s="8"/>
      <c r="AY32" s="10"/>
      <c r="AZ32" s="10"/>
      <c r="BA32" s="11"/>
      <c r="BB32" s="12"/>
      <c r="BC32" s="12"/>
      <c r="BD32" s="12"/>
      <c r="BE32" s="12"/>
      <c r="BF32" s="8"/>
      <c r="BG32" s="8"/>
      <c r="BH32" s="8"/>
      <c r="BO32" t="s">
        <v>271</v>
      </c>
      <c r="BP32" s="15">
        <f>SUMIFS($BE$15:$BE$195,$AV$15:$AV$195,"IL")</f>
        <v>4975</v>
      </c>
      <c r="BQ32" s="15">
        <f>SUMIFS($BE$15:$BE$195,$AV$15:$AV$195,"AL")</f>
        <v>2985</v>
      </c>
      <c r="BR32" s="15">
        <f>SUMIFS($BE$15:$BE$195,$AV$15:$AV$195,"MC")</f>
        <v>0</v>
      </c>
      <c r="BS32" s="15">
        <f>SUM(BP32:BR32)</f>
        <v>7960</v>
      </c>
    </row>
    <row r="33" spans="1:71" ht="15" customHeight="1" x14ac:dyDescent="0.25">
      <c r="A33">
        <v>109</v>
      </c>
      <c r="E33" t="s">
        <v>40</v>
      </c>
      <c r="I33" t="s">
        <v>41</v>
      </c>
      <c r="N33" s="1">
        <v>46065</v>
      </c>
      <c r="R33" s="1">
        <v>46065</v>
      </c>
      <c r="V33" s="2">
        <v>3895</v>
      </c>
      <c r="Z33" s="2">
        <v>3855</v>
      </c>
      <c r="AA33">
        <v>-40</v>
      </c>
      <c r="AC33">
        <v>0</v>
      </c>
      <c r="AE33">
        <v>-40</v>
      </c>
      <c r="AG33">
        <v>0</v>
      </c>
      <c r="AI33">
        <v>0</v>
      </c>
      <c r="AK33">
        <v>0</v>
      </c>
      <c r="AN33">
        <v>0</v>
      </c>
      <c r="AQ33" s="2">
        <v>3855</v>
      </c>
      <c r="AR33" s="8">
        <v>11</v>
      </c>
      <c r="AS33" s="8">
        <f>A33</f>
        <v>109</v>
      </c>
      <c r="AT33" s="8" t="s">
        <v>213</v>
      </c>
      <c r="AU33" s="8" t="s">
        <v>208</v>
      </c>
      <c r="AV33" s="8" t="s">
        <v>209</v>
      </c>
      <c r="AW33" s="9">
        <v>610</v>
      </c>
      <c r="AX33" s="8"/>
      <c r="AY33" s="10">
        <v>1</v>
      </c>
      <c r="AZ33" s="10">
        <v>1</v>
      </c>
      <c r="BA33" s="11">
        <v>46065</v>
      </c>
      <c r="BB33" s="12">
        <f>IFERROR(VALUE(V33),0)</f>
        <v>3895</v>
      </c>
      <c r="BC33" s="12">
        <f>IFERROR(VALUE(Z33),0)</f>
        <v>3855</v>
      </c>
      <c r="BD33" s="12">
        <f>IFERROR(VALUE(AI33),0)</f>
        <v>0</v>
      </c>
      <c r="BE33" s="12">
        <f>IFERROR(VALUE(AG33),0)</f>
        <v>0</v>
      </c>
      <c r="BF33" s="8" t="str">
        <f>IF(AS33="","",AV33&amp;" | "&amp;AT33&amp;" | "&amp;AW33)</f>
        <v>IL | One Bedroom | 610</v>
      </c>
      <c r="BG33" s="8" t="s">
        <v>214</v>
      </c>
      <c r="BH33" s="8" t="s">
        <v>215</v>
      </c>
      <c r="BO33" t="s">
        <v>272</v>
      </c>
      <c r="BP33" s="15">
        <f>IFERROR(BP32/BP30,0)</f>
        <v>995</v>
      </c>
      <c r="BQ33" s="15">
        <f>IFERROR(BQ32/BQ30,0)</f>
        <v>995</v>
      </c>
      <c r="BR33" s="15">
        <f>IFERROR(BR32/BR30,0)</f>
        <v>0</v>
      </c>
      <c r="BS33" s="15">
        <f>IFERROR(BS32/BS30,0)</f>
        <v>995</v>
      </c>
    </row>
    <row r="34" spans="1:71" ht="15" customHeight="1" x14ac:dyDescent="0.25">
      <c r="I34" t="s">
        <v>42</v>
      </c>
      <c r="AQ34" s="2">
        <v>3855</v>
      </c>
      <c r="AR34" s="8"/>
      <c r="AS34" s="8"/>
      <c r="AT34" s="8"/>
      <c r="AU34" s="8"/>
      <c r="AV34" s="8"/>
      <c r="AW34" s="9"/>
      <c r="AX34" s="8"/>
      <c r="AY34" s="10"/>
      <c r="AZ34" s="10"/>
      <c r="BA34" s="11"/>
      <c r="BB34" s="12"/>
      <c r="BC34" s="12"/>
      <c r="BD34" s="12"/>
      <c r="BE34" s="12"/>
      <c r="BF34" s="8"/>
      <c r="BG34" s="8"/>
      <c r="BH34" s="8"/>
      <c r="BO34" t="s">
        <v>259</v>
      </c>
      <c r="BP34" s="15">
        <f>SUMIFS($BD$15:$BD$195,$BE$15:$BE$195,"&gt;0",$AV$15:$AV$195,"IL")</f>
        <v>0</v>
      </c>
      <c r="BQ34" s="15">
        <f>SUMIFS($BD$15:$BD$195,$BE$15:$BE$195,"&gt;0",$AV$15:$AV$195,"AL")</f>
        <v>2285</v>
      </c>
      <c r="BR34" s="15">
        <f>SUMIFS($BD$15:$BD$195,$BE$15:$BE$195,"&gt;0",$AV$15:$AV$195,"MC")</f>
        <v>0</v>
      </c>
      <c r="BS34" s="15">
        <f>SUM(BP34:BR34)</f>
        <v>2285</v>
      </c>
    </row>
    <row r="35" spans="1:71" ht="15" customHeight="1" x14ac:dyDescent="0.25">
      <c r="A35">
        <v>110</v>
      </c>
      <c r="E35" t="s">
        <v>40</v>
      </c>
      <c r="I35" t="s">
        <v>43</v>
      </c>
      <c r="N35" s="1">
        <v>43732</v>
      </c>
      <c r="R35" s="1">
        <v>43732</v>
      </c>
      <c r="V35" s="2">
        <v>3895</v>
      </c>
      <c r="Z35" s="2">
        <v>3585</v>
      </c>
      <c r="AA35">
        <v>-310</v>
      </c>
      <c r="AC35">
        <v>0</v>
      </c>
      <c r="AE35">
        <v>-310</v>
      </c>
      <c r="AG35">
        <v>0</v>
      </c>
      <c r="AI35">
        <v>0</v>
      </c>
      <c r="AK35">
        <v>0</v>
      </c>
      <c r="AN35">
        <v>0</v>
      </c>
      <c r="AQ35" s="2">
        <v>3585</v>
      </c>
      <c r="AR35" s="8">
        <v>12</v>
      </c>
      <c r="AS35" s="8">
        <f>A35</f>
        <v>110</v>
      </c>
      <c r="AT35" s="8" t="s">
        <v>213</v>
      </c>
      <c r="AU35" s="8" t="s">
        <v>208</v>
      </c>
      <c r="AV35" s="8" t="s">
        <v>209</v>
      </c>
      <c r="AW35" s="9">
        <v>610</v>
      </c>
      <c r="AX35" s="8"/>
      <c r="AY35" s="10">
        <v>1</v>
      </c>
      <c r="AZ35" s="10">
        <v>1</v>
      </c>
      <c r="BA35" s="11">
        <v>43732</v>
      </c>
      <c r="BB35" s="12">
        <f>IFERROR(VALUE(V35),0)+IFERROR(VALUE(V36),0)</f>
        <v>3895</v>
      </c>
      <c r="BC35" s="12">
        <f>IFERROR(VALUE(Z35),0)+IFERROR(VALUE(Z36),0)</f>
        <v>3585</v>
      </c>
      <c r="BD35" s="12">
        <f>IFERROR(VALUE(AI35),0)+IFERROR(VALUE(AI36),0)</f>
        <v>0</v>
      </c>
      <c r="BE35" s="12">
        <f>IFERROR(VALUE(AG35),0)+IFERROR(VALUE(AG36),0)</f>
        <v>995</v>
      </c>
      <c r="BF35" s="8" t="str">
        <f>IF(AS35="","",AV35&amp;" | "&amp;AT35&amp;" | "&amp;AW35)</f>
        <v>IL | One Bedroom | 610</v>
      </c>
      <c r="BG35" s="8" t="s">
        <v>214</v>
      </c>
      <c r="BH35" s="8" t="s">
        <v>215</v>
      </c>
      <c r="BO35" t="s">
        <v>273</v>
      </c>
      <c r="BP35" s="15">
        <f>IFERROR(BP34/BP30,0)</f>
        <v>0</v>
      </c>
      <c r="BQ35" s="15">
        <f>IFERROR(BQ34/BQ30,0)</f>
        <v>761.66666666666663</v>
      </c>
      <c r="BR35" s="15">
        <f>IFERROR(BR34/BR30,0)</f>
        <v>0</v>
      </c>
      <c r="BS35" s="15">
        <f>IFERROR(BS34/BS30,0)</f>
        <v>285.625</v>
      </c>
    </row>
    <row r="36" spans="1:71" ht="15" customHeight="1" x14ac:dyDescent="0.25">
      <c r="I36" t="s">
        <v>44</v>
      </c>
      <c r="N36" s="1">
        <v>43732</v>
      </c>
      <c r="R36" s="1">
        <v>43732</v>
      </c>
      <c r="V36">
        <v>0</v>
      </c>
      <c r="Z36">
        <v>0</v>
      </c>
      <c r="AG36">
        <v>995</v>
      </c>
      <c r="AI36">
        <v>0</v>
      </c>
      <c r="AK36">
        <v>0</v>
      </c>
      <c r="AN36">
        <v>0</v>
      </c>
      <c r="AQ36">
        <v>995</v>
      </c>
      <c r="AR36" s="8">
        <v>13</v>
      </c>
      <c r="AS36" s="8">
        <f>A36</f>
        <v>0</v>
      </c>
      <c r="AT36" s="8" t="s">
        <v>213</v>
      </c>
      <c r="AU36" s="8" t="s">
        <v>212</v>
      </c>
      <c r="AV36" s="8" t="s">
        <v>209</v>
      </c>
      <c r="AW36" s="9">
        <v>0</v>
      </c>
      <c r="AX36" s="8"/>
      <c r="AY36" s="10">
        <v>0</v>
      </c>
      <c r="AZ36" s="10">
        <v>0</v>
      </c>
      <c r="BA36" s="11"/>
      <c r="BB36" s="12">
        <v>0</v>
      </c>
      <c r="BC36" s="12">
        <v>0</v>
      </c>
      <c r="BD36" s="12">
        <v>0</v>
      </c>
      <c r="BE36" s="12">
        <v>0</v>
      </c>
      <c r="BF36" s="8" t="str">
        <f>IF(AS36="","",AV36&amp;" | "&amp;AT36&amp;" | "&amp;AW36)</f>
        <v>IL | One Bedroom | 0</v>
      </c>
      <c r="BG36" s="8" t="s">
        <v>214</v>
      </c>
      <c r="BH36" s="8" t="s">
        <v>215</v>
      </c>
    </row>
    <row r="37" spans="1:71" ht="15" customHeight="1" x14ac:dyDescent="0.25">
      <c r="I37" t="s">
        <v>45</v>
      </c>
      <c r="AQ37" s="2">
        <v>4580</v>
      </c>
      <c r="AR37" s="8"/>
      <c r="AS37" s="8"/>
      <c r="AT37" s="8"/>
      <c r="AU37" s="8"/>
      <c r="AV37" s="8"/>
      <c r="AW37" s="9"/>
      <c r="AX37" s="8"/>
      <c r="AY37" s="10"/>
      <c r="AZ37" s="10"/>
      <c r="BA37" s="11"/>
      <c r="BB37" s="12"/>
      <c r="BC37" s="12"/>
      <c r="BD37" s="12"/>
      <c r="BE37" s="12"/>
      <c r="BF37" s="8"/>
      <c r="BG37" s="8"/>
      <c r="BH37" s="8"/>
      <c r="BO37" s="22" t="s">
        <v>274</v>
      </c>
      <c r="BP37" s="21"/>
    </row>
    <row r="38" spans="1:71" ht="15" customHeight="1" x14ac:dyDescent="0.25">
      <c r="A38">
        <v>111</v>
      </c>
      <c r="E38" t="s">
        <v>40</v>
      </c>
      <c r="I38" t="s">
        <v>46</v>
      </c>
      <c r="N38" s="1">
        <v>43931</v>
      </c>
      <c r="R38" s="1">
        <v>43931</v>
      </c>
      <c r="V38" s="2">
        <v>3895</v>
      </c>
      <c r="Z38" s="2">
        <v>3620</v>
      </c>
      <c r="AA38">
        <v>-275</v>
      </c>
      <c r="AC38">
        <v>0</v>
      </c>
      <c r="AE38">
        <v>-275</v>
      </c>
      <c r="AG38">
        <v>0</v>
      </c>
      <c r="AI38">
        <v>0</v>
      </c>
      <c r="AK38">
        <v>0</v>
      </c>
      <c r="AN38">
        <v>0</v>
      </c>
      <c r="AQ38" s="2">
        <v>3620</v>
      </c>
      <c r="AR38" s="8">
        <v>14</v>
      </c>
      <c r="AS38" s="8">
        <f>A38</f>
        <v>111</v>
      </c>
      <c r="AT38" s="8" t="s">
        <v>213</v>
      </c>
      <c r="AU38" s="8" t="s">
        <v>208</v>
      </c>
      <c r="AV38" s="8" t="s">
        <v>209</v>
      </c>
      <c r="AW38" s="9">
        <v>610</v>
      </c>
      <c r="AX38" s="8"/>
      <c r="AY38" s="10">
        <v>1</v>
      </c>
      <c r="AZ38" s="10">
        <v>1</v>
      </c>
      <c r="BA38" s="11">
        <v>43931</v>
      </c>
      <c r="BB38" s="12">
        <f>IFERROR(VALUE(V38),0)</f>
        <v>3895</v>
      </c>
      <c r="BC38" s="12">
        <f>IFERROR(VALUE(Z38),0)</f>
        <v>3620</v>
      </c>
      <c r="BD38" s="12">
        <f>IFERROR(VALUE(AI38),0)</f>
        <v>0</v>
      </c>
      <c r="BE38" s="12">
        <f>IFERROR(VALUE(AG38),0)</f>
        <v>0</v>
      </c>
      <c r="BF38" s="8" t="str">
        <f>IF(AS38="","",AV38&amp;" | "&amp;AT38&amp;" | "&amp;AW38)</f>
        <v>IL | One Bedroom | 610</v>
      </c>
      <c r="BG38" s="8" t="s">
        <v>214</v>
      </c>
      <c r="BH38" s="8" t="s">
        <v>215</v>
      </c>
      <c r="BO38" t="s">
        <v>275</v>
      </c>
      <c r="BP38" s="23">
        <v>0</v>
      </c>
    </row>
    <row r="39" spans="1:71" ht="15" customHeight="1" x14ac:dyDescent="0.25">
      <c r="I39" t="s">
        <v>47</v>
      </c>
      <c r="AQ39" s="2">
        <v>3620</v>
      </c>
      <c r="AR39" s="8"/>
      <c r="AS39" s="8"/>
      <c r="AT39" s="8"/>
      <c r="AU39" s="8"/>
      <c r="AV39" s="8"/>
      <c r="AW39" s="9"/>
      <c r="AX39" s="8"/>
      <c r="AY39" s="10"/>
      <c r="AZ39" s="10"/>
      <c r="BA39" s="11"/>
      <c r="BB39" s="12"/>
      <c r="BC39" s="12"/>
      <c r="BD39" s="12"/>
      <c r="BE39" s="12"/>
      <c r="BF39" s="8"/>
      <c r="BG39" s="8"/>
      <c r="BH39" s="8"/>
      <c r="BO39" t="s">
        <v>276</v>
      </c>
      <c r="BP39" s="23">
        <v>0</v>
      </c>
    </row>
    <row r="40" spans="1:71" ht="15" customHeight="1" x14ac:dyDescent="0.25">
      <c r="A40">
        <v>112</v>
      </c>
      <c r="E40" t="s">
        <v>40</v>
      </c>
      <c r="I40" t="s">
        <v>48</v>
      </c>
      <c r="N40" s="1">
        <v>44523</v>
      </c>
      <c r="R40" s="1">
        <v>44523</v>
      </c>
      <c r="V40" s="2">
        <v>3895</v>
      </c>
      <c r="Z40" s="2">
        <v>3660</v>
      </c>
      <c r="AA40">
        <v>-235</v>
      </c>
      <c r="AC40">
        <v>0</v>
      </c>
      <c r="AE40">
        <v>-235</v>
      </c>
      <c r="AG40">
        <v>0</v>
      </c>
      <c r="AI40">
        <v>0</v>
      </c>
      <c r="AK40">
        <v>0</v>
      </c>
      <c r="AN40">
        <v>0</v>
      </c>
      <c r="AQ40" s="2">
        <v>3660</v>
      </c>
      <c r="AR40" s="8">
        <v>15</v>
      </c>
      <c r="AS40" s="8">
        <f>A40</f>
        <v>112</v>
      </c>
      <c r="AT40" s="8" t="s">
        <v>213</v>
      </c>
      <c r="AU40" s="8" t="s">
        <v>208</v>
      </c>
      <c r="AV40" s="8" t="s">
        <v>209</v>
      </c>
      <c r="AW40" s="9">
        <v>610</v>
      </c>
      <c r="AX40" s="8"/>
      <c r="AY40" s="10">
        <v>1</v>
      </c>
      <c r="AZ40" s="10">
        <v>1</v>
      </c>
      <c r="BA40" s="11">
        <v>44523</v>
      </c>
      <c r="BB40" s="12">
        <f>IFERROR(VALUE(V40),0)</f>
        <v>3895</v>
      </c>
      <c r="BC40" s="12">
        <f>IFERROR(VALUE(Z40),0)</f>
        <v>3660</v>
      </c>
      <c r="BD40" s="12">
        <f>IFERROR(VALUE(AI40),0)</f>
        <v>0</v>
      </c>
      <c r="BE40" s="12">
        <f>IFERROR(VALUE(AG40),0)</f>
        <v>0</v>
      </c>
      <c r="BF40" s="8" t="str">
        <f>IF(AS40="","",AV40&amp;" | "&amp;AT40&amp;" | "&amp;AW40)</f>
        <v>IL | One Bedroom | 610</v>
      </c>
      <c r="BG40" s="8" t="s">
        <v>214</v>
      </c>
      <c r="BH40" s="8" t="s">
        <v>215</v>
      </c>
      <c r="BO40" t="s">
        <v>277</v>
      </c>
      <c r="BP40" s="23">
        <v>0</v>
      </c>
    </row>
    <row r="41" spans="1:71" ht="15" customHeight="1" x14ac:dyDescent="0.25">
      <c r="I41" t="s">
        <v>49</v>
      </c>
      <c r="AQ41" s="2">
        <v>3660</v>
      </c>
      <c r="AR41" s="8"/>
      <c r="AS41" s="8"/>
      <c r="AT41" s="8"/>
      <c r="AU41" s="8"/>
      <c r="AV41" s="8"/>
      <c r="AW41" s="9"/>
      <c r="AX41" s="8"/>
      <c r="AY41" s="10"/>
      <c r="AZ41" s="10"/>
      <c r="BA41" s="11"/>
      <c r="BB41" s="12"/>
      <c r="BC41" s="12"/>
      <c r="BD41" s="12"/>
      <c r="BE41" s="12"/>
      <c r="BF41" s="8"/>
      <c r="BG41" s="8"/>
      <c r="BH41" s="8"/>
    </row>
    <row r="42" spans="1:71" ht="15" customHeight="1" x14ac:dyDescent="0.25">
      <c r="A42">
        <v>113</v>
      </c>
      <c r="E42" t="s">
        <v>40</v>
      </c>
      <c r="I42" t="s">
        <v>50</v>
      </c>
      <c r="N42" s="1">
        <v>44721</v>
      </c>
      <c r="R42" s="1">
        <v>44721</v>
      </c>
      <c r="V42" s="2">
        <v>3895</v>
      </c>
      <c r="Z42" s="2">
        <v>3700</v>
      </c>
      <c r="AA42">
        <v>-195</v>
      </c>
      <c r="AC42">
        <v>0</v>
      </c>
      <c r="AE42">
        <v>-195</v>
      </c>
      <c r="AG42">
        <v>0</v>
      </c>
      <c r="AI42">
        <v>0</v>
      </c>
      <c r="AK42">
        <v>0</v>
      </c>
      <c r="AN42">
        <v>0</v>
      </c>
      <c r="AQ42" s="2">
        <v>3700</v>
      </c>
      <c r="AR42" s="8">
        <v>16</v>
      </c>
      <c r="AS42" s="8">
        <f>A42</f>
        <v>113</v>
      </c>
      <c r="AT42" s="8" t="s">
        <v>213</v>
      </c>
      <c r="AU42" s="8" t="s">
        <v>208</v>
      </c>
      <c r="AV42" s="8" t="s">
        <v>209</v>
      </c>
      <c r="AW42" s="9">
        <v>610</v>
      </c>
      <c r="AX42" s="8"/>
      <c r="AY42" s="10">
        <v>1</v>
      </c>
      <c r="AZ42" s="10">
        <v>1</v>
      </c>
      <c r="BA42" s="11">
        <v>44721</v>
      </c>
      <c r="BB42" s="12">
        <f>IFERROR(VALUE(V42),0)</f>
        <v>3895</v>
      </c>
      <c r="BC42" s="12">
        <f>IFERROR(VALUE(Z42),0)</f>
        <v>3700</v>
      </c>
      <c r="BD42" s="12">
        <f>IFERROR(VALUE(AI42),0)</f>
        <v>0</v>
      </c>
      <c r="BE42" s="12">
        <f>IFERROR(VALUE(AG42),0)</f>
        <v>0</v>
      </c>
      <c r="BF42" s="8" t="str">
        <f>IF(AS42="","",AV42&amp;" | "&amp;AT42&amp;" | "&amp;AW42)</f>
        <v>IL | One Bedroom | 610</v>
      </c>
      <c r="BG42" s="8" t="s">
        <v>214</v>
      </c>
      <c r="BH42" s="8" t="s">
        <v>215</v>
      </c>
      <c r="BO42" s="28" t="s">
        <v>278</v>
      </c>
      <c r="BP42" s="27"/>
    </row>
    <row r="43" spans="1:71" ht="15" customHeight="1" x14ac:dyDescent="0.25">
      <c r="I43" t="s">
        <v>51</v>
      </c>
      <c r="AQ43" s="2">
        <v>3700</v>
      </c>
      <c r="AR43" s="8"/>
      <c r="AS43" s="8"/>
      <c r="AT43" s="8"/>
      <c r="AU43" s="8"/>
      <c r="AV43" s="8"/>
      <c r="AW43" s="9"/>
      <c r="AX43" s="8"/>
      <c r="AY43" s="10"/>
      <c r="AZ43" s="10"/>
      <c r="BA43" s="11"/>
      <c r="BB43" s="12"/>
      <c r="BC43" s="12"/>
      <c r="BD43" s="12"/>
      <c r="BE43" s="12"/>
      <c r="BF43" s="8"/>
      <c r="BG43" s="8"/>
      <c r="BH43" s="8"/>
      <c r="BO43" s="24" t="s">
        <v>279</v>
      </c>
      <c r="BP43" s="25">
        <f>BQ27-SUM($AY$15:$AY$195)</f>
        <v>0</v>
      </c>
    </row>
    <row r="44" spans="1:71" ht="15" customHeight="1" x14ac:dyDescent="0.25">
      <c r="A44">
        <v>114</v>
      </c>
      <c r="E44" t="s">
        <v>40</v>
      </c>
      <c r="I44" t="s">
        <v>52</v>
      </c>
      <c r="N44" s="1">
        <v>44948</v>
      </c>
      <c r="R44" s="1">
        <v>44948</v>
      </c>
      <c r="V44" s="2">
        <v>3895</v>
      </c>
      <c r="Z44" s="2">
        <v>3740</v>
      </c>
      <c r="AA44">
        <v>-155</v>
      </c>
      <c r="AC44">
        <v>0</v>
      </c>
      <c r="AE44">
        <v>-155</v>
      </c>
      <c r="AG44">
        <v>0</v>
      </c>
      <c r="AI44">
        <v>0</v>
      </c>
      <c r="AK44">
        <v>0</v>
      </c>
      <c r="AN44">
        <v>0</v>
      </c>
      <c r="AQ44" s="2">
        <v>3740</v>
      </c>
      <c r="AR44" s="8">
        <v>17</v>
      </c>
      <c r="AS44" s="8">
        <f>A44</f>
        <v>114</v>
      </c>
      <c r="AT44" s="8" t="s">
        <v>213</v>
      </c>
      <c r="AU44" s="8" t="s">
        <v>208</v>
      </c>
      <c r="AV44" s="8" t="s">
        <v>209</v>
      </c>
      <c r="AW44" s="9">
        <v>610</v>
      </c>
      <c r="AX44" s="8"/>
      <c r="AY44" s="10">
        <v>1</v>
      </c>
      <c r="AZ44" s="10">
        <v>1</v>
      </c>
      <c r="BA44" s="11">
        <v>44948</v>
      </c>
      <c r="BB44" s="12">
        <f>IFERROR(VALUE(V44),0)</f>
        <v>3895</v>
      </c>
      <c r="BC44" s="12">
        <f>IFERROR(VALUE(Z44),0)</f>
        <v>3740</v>
      </c>
      <c r="BD44" s="12">
        <f>IFERROR(VALUE(AI44),0)</f>
        <v>0</v>
      </c>
      <c r="BE44" s="12">
        <f>IFERROR(VALUE(AG44),0)</f>
        <v>0</v>
      </c>
      <c r="BF44" s="8" t="str">
        <f>IF(AS44="","",AV44&amp;" | "&amp;AT44&amp;" | "&amp;AW44)</f>
        <v>IL | One Bedroom | 610</v>
      </c>
      <c r="BG44" s="8" t="s">
        <v>214</v>
      </c>
      <c r="BH44" s="8" t="s">
        <v>215</v>
      </c>
      <c r="BO44" s="24" t="s">
        <v>280</v>
      </c>
      <c r="BP44" s="25">
        <f>BR27-SUM($AZ$15:$AZ$195)</f>
        <v>0</v>
      </c>
    </row>
    <row r="45" spans="1:71" ht="15" customHeight="1" x14ac:dyDescent="0.25">
      <c r="I45" t="s">
        <v>53</v>
      </c>
      <c r="AQ45" s="2">
        <v>3740</v>
      </c>
      <c r="AR45" s="8"/>
      <c r="AS45" s="8"/>
      <c r="AT45" s="8"/>
      <c r="AU45" s="8"/>
      <c r="AV45" s="8"/>
      <c r="AW45" s="9"/>
      <c r="AX45" s="8"/>
      <c r="AY45" s="10"/>
      <c r="AZ45" s="10"/>
      <c r="BA45" s="11"/>
      <c r="BB45" s="12"/>
      <c r="BC45" s="12"/>
      <c r="BD45" s="12"/>
      <c r="BE45" s="12"/>
      <c r="BF45" s="8"/>
      <c r="BG45" s="8"/>
      <c r="BH45" s="8"/>
      <c r="BO45" s="24" t="s">
        <v>281</v>
      </c>
      <c r="BP45" s="26">
        <f>BS27-IFERROR(SUM($AZ$15:$AZ$195)/SUM($AY$15:$AY$195),0)</f>
        <v>0</v>
      </c>
    </row>
    <row r="46" spans="1:71" ht="15" customHeight="1" x14ac:dyDescent="0.25">
      <c r="A46">
        <v>115</v>
      </c>
      <c r="E46" t="s">
        <v>40</v>
      </c>
      <c r="I46" t="s">
        <v>54</v>
      </c>
      <c r="N46" s="1">
        <v>45512</v>
      </c>
      <c r="R46" s="1">
        <v>45512</v>
      </c>
      <c r="V46" s="2">
        <v>3895</v>
      </c>
      <c r="Z46" s="2">
        <v>3780</v>
      </c>
      <c r="AA46">
        <v>-115</v>
      </c>
      <c r="AC46">
        <v>0</v>
      </c>
      <c r="AE46">
        <v>-115</v>
      </c>
      <c r="AG46">
        <v>0</v>
      </c>
      <c r="AI46">
        <v>0</v>
      </c>
      <c r="AK46">
        <v>0</v>
      </c>
      <c r="AN46">
        <v>0</v>
      </c>
      <c r="AQ46" s="2">
        <v>3780</v>
      </c>
      <c r="AR46" s="8">
        <v>18</v>
      </c>
      <c r="AS46" s="8">
        <f>A46</f>
        <v>115</v>
      </c>
      <c r="AT46" s="8" t="s">
        <v>213</v>
      </c>
      <c r="AU46" s="8" t="s">
        <v>208</v>
      </c>
      <c r="AV46" s="8" t="s">
        <v>209</v>
      </c>
      <c r="AW46" s="9">
        <v>610</v>
      </c>
      <c r="AX46" s="8"/>
      <c r="AY46" s="10">
        <v>1</v>
      </c>
      <c r="AZ46" s="10">
        <v>1</v>
      </c>
      <c r="BA46" s="11">
        <v>45512</v>
      </c>
      <c r="BB46" s="12">
        <f>IFERROR(VALUE(V46),0)</f>
        <v>3895</v>
      </c>
      <c r="BC46" s="12">
        <f>IFERROR(VALUE(Z46),0)</f>
        <v>3780</v>
      </c>
      <c r="BD46" s="12">
        <f>IFERROR(VALUE(AI46),0)</f>
        <v>0</v>
      </c>
      <c r="BE46" s="12">
        <f>IFERROR(VALUE(AG46),0)</f>
        <v>0</v>
      </c>
      <c r="BF46" s="8" t="str">
        <f>IF(AS46="","",AV46&amp;" | "&amp;AT46&amp;" | "&amp;AW46)</f>
        <v>IL | One Bedroom | 610</v>
      </c>
      <c r="BG46" s="8" t="s">
        <v>214</v>
      </c>
      <c r="BH46" s="8" t="s">
        <v>215</v>
      </c>
      <c r="BO46" s="24" t="s">
        <v>271</v>
      </c>
      <c r="BP46" s="25">
        <f>BY27*BR27-SUMIFS($BC$15:$BC$195,$AY$15:$AY$195,1,$AZ$15:$AZ$195,1)</f>
        <v>0</v>
      </c>
    </row>
    <row r="47" spans="1:71" ht="15" customHeight="1" x14ac:dyDescent="0.25">
      <c r="I47" t="s">
        <v>55</v>
      </c>
      <c r="AQ47" s="2">
        <v>3780</v>
      </c>
      <c r="AR47" s="8"/>
      <c r="AS47" s="8"/>
      <c r="AT47" s="8"/>
      <c r="AU47" s="8"/>
      <c r="AV47" s="8"/>
      <c r="AW47" s="9"/>
      <c r="AX47" s="8"/>
      <c r="AY47" s="10"/>
      <c r="AZ47" s="10"/>
      <c r="BA47" s="11"/>
      <c r="BB47" s="12"/>
      <c r="BC47" s="12"/>
      <c r="BD47" s="12"/>
      <c r="BE47" s="12"/>
      <c r="BF47" s="8"/>
      <c r="BG47" s="8"/>
      <c r="BH47" s="8"/>
      <c r="BO47" s="24" t="s">
        <v>259</v>
      </c>
      <c r="BP47" s="25">
        <f>CA27*BQ27-SUMIFS($BD$15:$BD$195,$AY$15:$AY$195,1)</f>
        <v>0</v>
      </c>
    </row>
    <row r="48" spans="1:71" ht="15" customHeight="1" x14ac:dyDescent="0.25">
      <c r="A48">
        <v>116</v>
      </c>
      <c r="E48" t="s">
        <v>40</v>
      </c>
      <c r="I48" t="s">
        <v>56</v>
      </c>
      <c r="N48" s="1">
        <v>45737</v>
      </c>
      <c r="R48" s="1">
        <v>45737</v>
      </c>
      <c r="V48" s="2">
        <v>3895</v>
      </c>
      <c r="Z48" s="2">
        <v>3815</v>
      </c>
      <c r="AA48">
        <v>-80</v>
      </c>
      <c r="AC48">
        <v>0</v>
      </c>
      <c r="AE48">
        <v>-80</v>
      </c>
      <c r="AG48">
        <v>0</v>
      </c>
      <c r="AI48">
        <v>0</v>
      </c>
      <c r="AK48">
        <v>0</v>
      </c>
      <c r="AN48">
        <v>0</v>
      </c>
      <c r="AQ48" s="2">
        <v>3815</v>
      </c>
      <c r="AR48" s="8">
        <v>19</v>
      </c>
      <c r="AS48" s="8">
        <f>A48</f>
        <v>116</v>
      </c>
      <c r="AT48" s="8" t="s">
        <v>213</v>
      </c>
      <c r="AU48" s="8" t="s">
        <v>208</v>
      </c>
      <c r="AV48" s="8" t="s">
        <v>209</v>
      </c>
      <c r="AW48" s="9">
        <v>610</v>
      </c>
      <c r="AX48" s="8"/>
      <c r="AY48" s="10">
        <v>1</v>
      </c>
      <c r="AZ48" s="10">
        <v>1</v>
      </c>
      <c r="BA48" s="11">
        <v>45737</v>
      </c>
      <c r="BB48" s="12">
        <f>IFERROR(VALUE(V48),0)</f>
        <v>3895</v>
      </c>
      <c r="BC48" s="12">
        <f>IFERROR(VALUE(Z48),0)</f>
        <v>3815</v>
      </c>
      <c r="BD48" s="12">
        <f>IFERROR(VALUE(AI48),0)</f>
        <v>0</v>
      </c>
      <c r="BE48" s="12">
        <f>IFERROR(VALUE(AG48),0)</f>
        <v>0</v>
      </c>
      <c r="BF48" s="8" t="str">
        <f>IF(AS48="","",AV48&amp;" | "&amp;AT48&amp;" | "&amp;AW48)</f>
        <v>IL | One Bedroom | 610</v>
      </c>
      <c r="BG48" s="8" t="s">
        <v>214</v>
      </c>
      <c r="BH48" s="8" t="s">
        <v>215</v>
      </c>
    </row>
    <row r="49" spans="1:68" ht="15" customHeight="1" x14ac:dyDescent="0.25">
      <c r="I49" t="s">
        <v>57</v>
      </c>
      <c r="AQ49" s="2">
        <v>3815</v>
      </c>
      <c r="AR49" s="8"/>
      <c r="AS49" s="8"/>
      <c r="AT49" s="8"/>
      <c r="AU49" s="8"/>
      <c r="AV49" s="8"/>
      <c r="AW49" s="9"/>
      <c r="AX49" s="8"/>
      <c r="AY49" s="10"/>
      <c r="AZ49" s="10"/>
      <c r="BA49" s="11"/>
      <c r="BB49" s="12"/>
      <c r="BC49" s="12"/>
      <c r="BD49" s="12"/>
      <c r="BE49" s="12"/>
      <c r="BF49" s="8"/>
      <c r="BG49" s="8"/>
      <c r="BH49" s="8"/>
      <c r="BO49" t="s">
        <v>282</v>
      </c>
      <c r="BP49" t="s">
        <v>283</v>
      </c>
    </row>
    <row r="50" spans="1:68" ht="15" customHeight="1" x14ac:dyDescent="0.25">
      <c r="A50">
        <v>117</v>
      </c>
      <c r="E50" t="s">
        <v>40</v>
      </c>
      <c r="I50" t="s">
        <v>58</v>
      </c>
      <c r="N50" s="1">
        <v>46035</v>
      </c>
      <c r="R50" s="1">
        <v>46035</v>
      </c>
      <c r="V50" s="2">
        <v>3895</v>
      </c>
      <c r="Z50" s="2">
        <v>3855</v>
      </c>
      <c r="AA50">
        <v>-40</v>
      </c>
      <c r="AC50">
        <v>0</v>
      </c>
      <c r="AE50">
        <v>-40</v>
      </c>
      <c r="AG50">
        <v>0</v>
      </c>
      <c r="AI50">
        <v>0</v>
      </c>
      <c r="AK50">
        <v>0</v>
      </c>
      <c r="AN50">
        <v>0</v>
      </c>
      <c r="AQ50" s="2">
        <v>3855</v>
      </c>
      <c r="AR50" s="8">
        <v>20</v>
      </c>
      <c r="AS50" s="8">
        <f>A50</f>
        <v>117</v>
      </c>
      <c r="AT50" s="8" t="s">
        <v>213</v>
      </c>
      <c r="AU50" s="8" t="s">
        <v>208</v>
      </c>
      <c r="AV50" s="8" t="s">
        <v>209</v>
      </c>
      <c r="AW50" s="9">
        <v>610</v>
      </c>
      <c r="AX50" s="8"/>
      <c r="AY50" s="10">
        <v>1</v>
      </c>
      <c r="AZ50" s="10">
        <v>1</v>
      </c>
      <c r="BA50" s="11">
        <v>46035</v>
      </c>
      <c r="BB50" s="12">
        <f>IFERROR(VALUE(V50),0)</f>
        <v>3895</v>
      </c>
      <c r="BC50" s="12">
        <f>IFERROR(VALUE(Z50),0)</f>
        <v>3855</v>
      </c>
      <c r="BD50" s="12">
        <f>IFERROR(VALUE(AI50),0)</f>
        <v>0</v>
      </c>
      <c r="BE50" s="12">
        <f>IFERROR(VALUE(AG50),0)</f>
        <v>0</v>
      </c>
      <c r="BF50" s="8" t="str">
        <f>IF(AS50="","",AV50&amp;" | "&amp;AT50&amp;" | "&amp;AW50)</f>
        <v>IL | One Bedroom | 610</v>
      </c>
      <c r="BG50" s="8" t="s">
        <v>214</v>
      </c>
      <c r="BH50" s="8" t="s">
        <v>215</v>
      </c>
    </row>
    <row r="51" spans="1:68" ht="15" customHeight="1" x14ac:dyDescent="0.25">
      <c r="I51" t="s">
        <v>59</v>
      </c>
      <c r="AQ51" s="2">
        <v>3855</v>
      </c>
      <c r="AR51" s="8"/>
      <c r="AS51" s="8"/>
      <c r="AT51" s="8"/>
      <c r="AU51" s="8"/>
      <c r="AV51" s="8"/>
      <c r="AW51" s="9"/>
      <c r="AX51" s="8"/>
      <c r="AY51" s="10"/>
      <c r="AZ51" s="10"/>
      <c r="BA51" s="11"/>
      <c r="BB51" s="12"/>
      <c r="BC51" s="12"/>
      <c r="BD51" s="12"/>
      <c r="BE51" s="12"/>
      <c r="BF51" s="8"/>
      <c r="BG51" s="8"/>
      <c r="BH51" s="8"/>
      <c r="BO51" s="22" t="s">
        <v>288</v>
      </c>
      <c r="BP51" s="21"/>
    </row>
    <row r="52" spans="1:68" ht="15" customHeight="1" x14ac:dyDescent="0.25">
      <c r="A52">
        <v>118</v>
      </c>
      <c r="E52" t="s">
        <v>40</v>
      </c>
      <c r="I52" t="s">
        <v>60</v>
      </c>
      <c r="N52" s="1">
        <v>43605</v>
      </c>
      <c r="R52" s="1">
        <v>43605</v>
      </c>
      <c r="V52" s="2">
        <v>3895</v>
      </c>
      <c r="Z52" s="2">
        <v>3585</v>
      </c>
      <c r="AA52">
        <v>-310</v>
      </c>
      <c r="AC52">
        <v>0</v>
      </c>
      <c r="AE52">
        <v>-310</v>
      </c>
      <c r="AG52">
        <v>0</v>
      </c>
      <c r="AI52">
        <v>0</v>
      </c>
      <c r="AK52">
        <v>0</v>
      </c>
      <c r="AN52">
        <v>0</v>
      </c>
      <c r="AQ52" s="2">
        <v>3585</v>
      </c>
      <c r="AR52" s="8">
        <v>21</v>
      </c>
      <c r="AS52" s="8">
        <f>A52</f>
        <v>118</v>
      </c>
      <c r="AT52" s="8" t="s">
        <v>213</v>
      </c>
      <c r="AU52" s="8" t="s">
        <v>208</v>
      </c>
      <c r="AV52" s="8" t="s">
        <v>209</v>
      </c>
      <c r="AW52" s="9">
        <v>610</v>
      </c>
      <c r="AX52" s="8"/>
      <c r="AY52" s="10">
        <v>1</v>
      </c>
      <c r="AZ52" s="10">
        <v>1</v>
      </c>
      <c r="BA52" s="11">
        <v>43605</v>
      </c>
      <c r="BB52" s="12">
        <f>IFERROR(VALUE(V52),0)</f>
        <v>3895</v>
      </c>
      <c r="BC52" s="12">
        <f>IFERROR(VALUE(Z52),0)</f>
        <v>3585</v>
      </c>
      <c r="BD52" s="12">
        <f>IFERROR(VALUE(AI52),0)</f>
        <v>0</v>
      </c>
      <c r="BE52" s="12">
        <f>IFERROR(VALUE(AG52),0)</f>
        <v>0</v>
      </c>
      <c r="BF52" s="8" t="str">
        <f>IF(AS52="","",AV52&amp;" | "&amp;AT52&amp;" | "&amp;AW52)</f>
        <v>IL | One Bedroom | 610</v>
      </c>
      <c r="BG52" s="8" t="s">
        <v>214</v>
      </c>
      <c r="BH52" s="8" t="s">
        <v>215</v>
      </c>
      <c r="BO52" t="s">
        <v>289</v>
      </c>
    </row>
    <row r="53" spans="1:68" ht="15" customHeight="1" x14ac:dyDescent="0.25">
      <c r="I53" t="s">
        <v>61</v>
      </c>
      <c r="AQ53" s="2">
        <v>3585</v>
      </c>
      <c r="AR53" s="8"/>
      <c r="AS53" s="8"/>
      <c r="AT53" s="8"/>
      <c r="AU53" s="8"/>
      <c r="AV53" s="8"/>
      <c r="AW53" s="9"/>
      <c r="AX53" s="8"/>
      <c r="AY53" s="10"/>
      <c r="AZ53" s="10"/>
      <c r="BA53" s="11"/>
      <c r="BB53" s="12"/>
      <c r="BC53" s="12"/>
      <c r="BD53" s="12"/>
      <c r="BE53" s="12"/>
      <c r="BF53" s="8"/>
      <c r="BG53" s="8"/>
      <c r="BH53" s="8"/>
      <c r="BO53" t="s">
        <v>290</v>
      </c>
    </row>
    <row r="54" spans="1:68" ht="15" customHeight="1" x14ac:dyDescent="0.25">
      <c r="A54">
        <v>119</v>
      </c>
      <c r="E54" t="s">
        <v>40</v>
      </c>
      <c r="I54" t="s">
        <v>30</v>
      </c>
      <c r="V54" s="2">
        <v>3895</v>
      </c>
      <c r="Z54">
        <v>0</v>
      </c>
      <c r="AA54">
        <v>0</v>
      </c>
      <c r="AC54" s="2">
        <v>3895</v>
      </c>
      <c r="AE54" s="2">
        <v>3895</v>
      </c>
      <c r="AQ54">
        <v>0</v>
      </c>
      <c r="AR54" s="8">
        <v>22</v>
      </c>
      <c r="AS54" s="8">
        <f>A54</f>
        <v>119</v>
      </c>
      <c r="AT54" s="8" t="s">
        <v>213</v>
      </c>
      <c r="AU54" s="8" t="s">
        <v>208</v>
      </c>
      <c r="AV54" s="8" t="s">
        <v>209</v>
      </c>
      <c r="AW54" s="9">
        <v>610</v>
      </c>
      <c r="AX54" s="8"/>
      <c r="AY54" s="10">
        <v>1</v>
      </c>
      <c r="AZ54" s="10">
        <v>0</v>
      </c>
      <c r="BA54" s="11"/>
      <c r="BB54" s="12">
        <f>IFERROR(VALUE(V54),0)</f>
        <v>3895</v>
      </c>
      <c r="BC54" s="12">
        <v>0</v>
      </c>
      <c r="BD54" s="12">
        <v>0</v>
      </c>
      <c r="BE54" s="12">
        <v>0</v>
      </c>
      <c r="BF54" s="8" t="str">
        <f>IF(AS54="","",AV54&amp;" | "&amp;AT54&amp;" | "&amp;AW54)</f>
        <v>IL | One Bedroom | 610</v>
      </c>
      <c r="BG54" s="8" t="s">
        <v>214</v>
      </c>
      <c r="BH54" s="8" t="s">
        <v>215</v>
      </c>
      <c r="BO54" t="s">
        <v>291</v>
      </c>
    </row>
    <row r="55" spans="1:68" ht="15" customHeight="1" x14ac:dyDescent="0.25">
      <c r="I55" t="s">
        <v>62</v>
      </c>
      <c r="AQ55">
        <v>0</v>
      </c>
      <c r="AR55" s="8"/>
      <c r="AS55" s="8"/>
      <c r="AT55" s="8"/>
      <c r="AU55" s="8"/>
      <c r="AV55" s="8"/>
      <c r="AW55" s="9"/>
      <c r="AX55" s="8"/>
      <c r="AY55" s="10"/>
      <c r="AZ55" s="10"/>
      <c r="BA55" s="11"/>
      <c r="BB55" s="12"/>
      <c r="BC55" s="12"/>
      <c r="BD55" s="12"/>
      <c r="BE55" s="12"/>
      <c r="BF55" s="8"/>
      <c r="BG55" s="8"/>
      <c r="BH55" s="8"/>
      <c r="BO55" t="s">
        <v>292</v>
      </c>
    </row>
    <row r="56" spans="1:68" ht="15" customHeight="1" x14ac:dyDescent="0.25">
      <c r="A56">
        <v>120</v>
      </c>
      <c r="E56" t="s">
        <v>40</v>
      </c>
      <c r="I56" t="s">
        <v>63</v>
      </c>
      <c r="N56" s="1">
        <v>44171</v>
      </c>
      <c r="R56" s="1">
        <v>44171</v>
      </c>
      <c r="V56" s="2">
        <v>3895</v>
      </c>
      <c r="Z56" s="2">
        <v>3620</v>
      </c>
      <c r="AA56">
        <v>-275</v>
      </c>
      <c r="AC56">
        <v>0</v>
      </c>
      <c r="AE56">
        <v>-275</v>
      </c>
      <c r="AG56">
        <v>0</v>
      </c>
      <c r="AI56">
        <v>0</v>
      </c>
      <c r="AK56">
        <v>0</v>
      </c>
      <c r="AN56">
        <v>0</v>
      </c>
      <c r="AQ56" s="2">
        <v>3620</v>
      </c>
      <c r="AR56" s="8">
        <v>23</v>
      </c>
      <c r="AS56" s="8">
        <f>A56</f>
        <v>120</v>
      </c>
      <c r="AT56" s="8" t="s">
        <v>213</v>
      </c>
      <c r="AU56" s="8" t="s">
        <v>208</v>
      </c>
      <c r="AV56" s="8" t="s">
        <v>209</v>
      </c>
      <c r="AW56" s="9">
        <v>610</v>
      </c>
      <c r="AX56" s="8"/>
      <c r="AY56" s="10">
        <v>1</v>
      </c>
      <c r="AZ56" s="10">
        <v>1</v>
      </c>
      <c r="BA56" s="11">
        <v>44171</v>
      </c>
      <c r="BB56" s="12">
        <f>IFERROR(VALUE(V56),0)</f>
        <v>3895</v>
      </c>
      <c r="BC56" s="12">
        <f>IFERROR(VALUE(Z56),0)</f>
        <v>3620</v>
      </c>
      <c r="BD56" s="12">
        <f>IFERROR(VALUE(AI56),0)</f>
        <v>0</v>
      </c>
      <c r="BE56" s="12">
        <f>IFERROR(VALUE(AG56),0)</f>
        <v>0</v>
      </c>
      <c r="BF56" s="8" t="str">
        <f>IF(AS56="","",AV56&amp;" | "&amp;AT56&amp;" | "&amp;AW56)</f>
        <v>IL | One Bedroom | 610</v>
      </c>
      <c r="BG56" s="8" t="s">
        <v>214</v>
      </c>
      <c r="BH56" s="8" t="s">
        <v>215</v>
      </c>
      <c r="BO56" t="s">
        <v>307</v>
      </c>
    </row>
    <row r="57" spans="1:68" ht="15" customHeight="1" x14ac:dyDescent="0.25">
      <c r="I57" t="s">
        <v>64</v>
      </c>
      <c r="AQ57" s="2">
        <v>3620</v>
      </c>
      <c r="AR57" s="8"/>
      <c r="AS57" s="8"/>
      <c r="AT57" s="8"/>
      <c r="AU57" s="8"/>
      <c r="AV57" s="8"/>
      <c r="AW57" s="9"/>
      <c r="AX57" s="8"/>
      <c r="AY57" s="10"/>
      <c r="AZ57" s="10"/>
      <c r="BA57" s="11"/>
      <c r="BB57" s="12"/>
      <c r="BC57" s="12"/>
      <c r="BD57" s="12"/>
      <c r="BE57" s="12"/>
      <c r="BF57" s="8"/>
      <c r="BG57" s="8"/>
      <c r="BH57" s="8"/>
      <c r="BO57" t="s">
        <v>293</v>
      </c>
    </row>
    <row r="58" spans="1:68" ht="15" customHeight="1" x14ac:dyDescent="0.25">
      <c r="A58">
        <v>121</v>
      </c>
      <c r="E58" t="s">
        <v>40</v>
      </c>
      <c r="I58" t="s">
        <v>65</v>
      </c>
      <c r="N58" s="1">
        <v>44396</v>
      </c>
      <c r="R58" s="1">
        <v>44396</v>
      </c>
      <c r="V58" s="2">
        <v>3895</v>
      </c>
      <c r="Z58" s="2">
        <v>3660</v>
      </c>
      <c r="AA58">
        <v>-235</v>
      </c>
      <c r="AC58">
        <v>0</v>
      </c>
      <c r="AE58">
        <v>-235</v>
      </c>
      <c r="AG58">
        <v>0</v>
      </c>
      <c r="AI58">
        <v>0</v>
      </c>
      <c r="AK58">
        <v>0</v>
      </c>
      <c r="AN58">
        <v>0</v>
      </c>
      <c r="AQ58" s="2">
        <v>3660</v>
      </c>
      <c r="AR58" s="8">
        <v>24</v>
      </c>
      <c r="AS58" s="8">
        <f>A58</f>
        <v>121</v>
      </c>
      <c r="AT58" s="8" t="s">
        <v>213</v>
      </c>
      <c r="AU58" s="8" t="s">
        <v>208</v>
      </c>
      <c r="AV58" s="8" t="s">
        <v>209</v>
      </c>
      <c r="AW58" s="9">
        <v>610</v>
      </c>
      <c r="AX58" s="8"/>
      <c r="AY58" s="10">
        <v>1</v>
      </c>
      <c r="AZ58" s="10">
        <v>1</v>
      </c>
      <c r="BA58" s="11">
        <v>44396</v>
      </c>
      <c r="BB58" s="12">
        <f>IFERROR(VALUE(V58),0)</f>
        <v>3895</v>
      </c>
      <c r="BC58" s="12">
        <f>IFERROR(VALUE(Z58),0)</f>
        <v>3660</v>
      </c>
      <c r="BD58" s="12">
        <f>IFERROR(VALUE(AI58),0)</f>
        <v>0</v>
      </c>
      <c r="BE58" s="12">
        <f>IFERROR(VALUE(AG58),0)</f>
        <v>0</v>
      </c>
      <c r="BF58" s="8" t="str">
        <f>IF(AS58="","",AV58&amp;" | "&amp;AT58&amp;" | "&amp;AW58)</f>
        <v>IL | One Bedroom | 610</v>
      </c>
      <c r="BG58" s="8" t="s">
        <v>214</v>
      </c>
      <c r="BH58" s="8" t="s">
        <v>215</v>
      </c>
      <c r="BO58" t="s">
        <v>294</v>
      </c>
    </row>
    <row r="59" spans="1:68" ht="15" customHeight="1" x14ac:dyDescent="0.25">
      <c r="I59" t="s">
        <v>66</v>
      </c>
      <c r="AQ59" s="2">
        <v>3660</v>
      </c>
      <c r="AR59" s="8"/>
      <c r="AS59" s="8"/>
      <c r="AT59" s="8"/>
      <c r="AU59" s="8"/>
      <c r="AV59" s="8"/>
      <c r="AW59" s="9"/>
      <c r="AX59" s="8"/>
      <c r="AY59" s="10"/>
      <c r="AZ59" s="10"/>
      <c r="BA59" s="11"/>
      <c r="BB59" s="12"/>
      <c r="BC59" s="12"/>
      <c r="BD59" s="12"/>
      <c r="BE59" s="12"/>
      <c r="BF59" s="8"/>
      <c r="BG59" s="8"/>
      <c r="BH59" s="8"/>
      <c r="BO59" t="s">
        <v>295</v>
      </c>
    </row>
    <row r="60" spans="1:68" ht="15" customHeight="1" x14ac:dyDescent="0.25">
      <c r="A60">
        <v>122</v>
      </c>
      <c r="E60" t="s">
        <v>40</v>
      </c>
      <c r="I60" t="s">
        <v>67</v>
      </c>
      <c r="N60" s="1">
        <v>44597</v>
      </c>
      <c r="R60" s="1">
        <v>44597</v>
      </c>
      <c r="V60" s="2">
        <v>3895</v>
      </c>
      <c r="Z60" s="2">
        <v>3700</v>
      </c>
      <c r="AA60">
        <v>-195</v>
      </c>
      <c r="AC60">
        <v>0</v>
      </c>
      <c r="AE60">
        <v>-195</v>
      </c>
      <c r="AG60">
        <v>0</v>
      </c>
      <c r="AI60">
        <v>0</v>
      </c>
      <c r="AK60">
        <v>0</v>
      </c>
      <c r="AN60">
        <v>0</v>
      </c>
      <c r="AQ60" s="2">
        <v>3700</v>
      </c>
      <c r="AR60" s="8">
        <v>25</v>
      </c>
      <c r="AS60" s="8">
        <f>A60</f>
        <v>122</v>
      </c>
      <c r="AT60" s="8" t="s">
        <v>213</v>
      </c>
      <c r="AU60" s="8" t="s">
        <v>208</v>
      </c>
      <c r="AV60" s="8" t="s">
        <v>209</v>
      </c>
      <c r="AW60" s="9">
        <v>610</v>
      </c>
      <c r="AX60" s="8"/>
      <c r="AY60" s="10">
        <v>1</v>
      </c>
      <c r="AZ60" s="10">
        <v>1</v>
      </c>
      <c r="BA60" s="11">
        <v>44597</v>
      </c>
      <c r="BB60" s="12">
        <f>IFERROR(VALUE(V60),0)+IFERROR(VALUE(V61),0)</f>
        <v>3895</v>
      </c>
      <c r="BC60" s="12">
        <f>IFERROR(VALUE(Z60),0)+IFERROR(VALUE(Z61),0)</f>
        <v>3700</v>
      </c>
      <c r="BD60" s="12">
        <f>IFERROR(VALUE(AI60),0)+IFERROR(VALUE(AI61),0)</f>
        <v>0</v>
      </c>
      <c r="BE60" s="12">
        <f>IFERROR(VALUE(AG60),0)+IFERROR(VALUE(AG61),0)</f>
        <v>995</v>
      </c>
      <c r="BF60" s="8" t="str">
        <f>IF(AS60="","",AV60&amp;" | "&amp;AT60&amp;" | "&amp;AW60)</f>
        <v>IL | One Bedroom | 610</v>
      </c>
      <c r="BG60" s="8" t="s">
        <v>214</v>
      </c>
      <c r="BH60" s="8" t="s">
        <v>215</v>
      </c>
      <c r="BO60" t="s">
        <v>308</v>
      </c>
    </row>
    <row r="61" spans="1:68" ht="15" customHeight="1" x14ac:dyDescent="0.25">
      <c r="I61" t="s">
        <v>68</v>
      </c>
      <c r="N61" s="1">
        <v>44597</v>
      </c>
      <c r="R61" s="1">
        <v>44597</v>
      </c>
      <c r="V61">
        <v>0</v>
      </c>
      <c r="Z61">
        <v>0</v>
      </c>
      <c r="AG61">
        <v>995</v>
      </c>
      <c r="AI61">
        <v>0</v>
      </c>
      <c r="AK61">
        <v>0</v>
      </c>
      <c r="AN61">
        <v>0</v>
      </c>
      <c r="AQ61">
        <v>995</v>
      </c>
      <c r="AR61" s="8">
        <v>26</v>
      </c>
      <c r="AS61" s="8">
        <f>A61</f>
        <v>0</v>
      </c>
      <c r="AT61" s="8" t="s">
        <v>213</v>
      </c>
      <c r="AU61" s="8" t="s">
        <v>212</v>
      </c>
      <c r="AV61" s="8" t="s">
        <v>209</v>
      </c>
      <c r="AW61" s="9">
        <v>0</v>
      </c>
      <c r="AX61" s="8"/>
      <c r="AY61" s="10">
        <v>0</v>
      </c>
      <c r="AZ61" s="10">
        <v>0</v>
      </c>
      <c r="BA61" s="11"/>
      <c r="BB61" s="12">
        <v>0</v>
      </c>
      <c r="BC61" s="12">
        <v>0</v>
      </c>
      <c r="BD61" s="12">
        <v>0</v>
      </c>
      <c r="BE61" s="12">
        <v>0</v>
      </c>
      <c r="BF61" s="8" t="str">
        <f>IF(AS61="","",AV61&amp;" | "&amp;AT61&amp;" | "&amp;AW61)</f>
        <v>IL | One Bedroom | 0</v>
      </c>
      <c r="BG61" s="8" t="s">
        <v>214</v>
      </c>
      <c r="BH61" s="8" t="s">
        <v>215</v>
      </c>
    </row>
    <row r="62" spans="1:68" ht="15" customHeight="1" x14ac:dyDescent="0.25">
      <c r="I62" t="s">
        <v>69</v>
      </c>
      <c r="AQ62" s="2">
        <v>4695</v>
      </c>
      <c r="AR62" s="8"/>
      <c r="AS62" s="8"/>
      <c r="AT62" s="8"/>
      <c r="AU62" s="8"/>
      <c r="AV62" s="8"/>
      <c r="AW62" s="9"/>
      <c r="AX62" s="8"/>
      <c r="AY62" s="10"/>
      <c r="AZ62" s="10"/>
      <c r="BA62" s="11"/>
      <c r="BB62" s="12"/>
      <c r="BC62" s="12"/>
      <c r="BD62" s="12"/>
      <c r="BE62" s="12"/>
      <c r="BF62" s="8"/>
      <c r="BG62" s="8"/>
      <c r="BH62" s="8"/>
    </row>
    <row r="63" spans="1:68" ht="15" customHeight="1" x14ac:dyDescent="0.25">
      <c r="A63">
        <v>123</v>
      </c>
      <c r="E63" t="s">
        <v>40</v>
      </c>
      <c r="I63" t="s">
        <v>70</v>
      </c>
      <c r="N63" s="1">
        <v>45187</v>
      </c>
      <c r="R63" s="1">
        <v>45187</v>
      </c>
      <c r="V63" s="2">
        <v>3895</v>
      </c>
      <c r="Z63" s="2">
        <v>3740</v>
      </c>
      <c r="AA63">
        <v>-155</v>
      </c>
      <c r="AC63">
        <v>0</v>
      </c>
      <c r="AE63">
        <v>-155</v>
      </c>
      <c r="AG63">
        <v>0</v>
      </c>
      <c r="AI63">
        <v>0</v>
      </c>
      <c r="AK63">
        <v>0</v>
      </c>
      <c r="AN63">
        <v>0</v>
      </c>
      <c r="AQ63" s="2">
        <v>3740</v>
      </c>
      <c r="AR63" s="8">
        <v>27</v>
      </c>
      <c r="AS63" s="8">
        <f>A63</f>
        <v>123</v>
      </c>
      <c r="AT63" s="8" t="s">
        <v>213</v>
      </c>
      <c r="AU63" s="8" t="s">
        <v>208</v>
      </c>
      <c r="AV63" s="8" t="s">
        <v>209</v>
      </c>
      <c r="AW63" s="9">
        <v>610</v>
      </c>
      <c r="AX63" s="8"/>
      <c r="AY63" s="10">
        <v>1</v>
      </c>
      <c r="AZ63" s="10">
        <v>1</v>
      </c>
      <c r="BA63" s="11">
        <v>45187</v>
      </c>
      <c r="BB63" s="12">
        <f>IFERROR(VALUE(V63),0)</f>
        <v>3895</v>
      </c>
      <c r="BC63" s="12">
        <f>IFERROR(VALUE(Z63),0)</f>
        <v>3740</v>
      </c>
      <c r="BD63" s="12">
        <f>IFERROR(VALUE(AI63),0)</f>
        <v>0</v>
      </c>
      <c r="BE63" s="12">
        <f>IFERROR(VALUE(AG63),0)</f>
        <v>0</v>
      </c>
      <c r="BF63" s="8" t="str">
        <f>IF(AS63="","",AV63&amp;" | "&amp;AT63&amp;" | "&amp;AW63)</f>
        <v>IL | One Bedroom | 610</v>
      </c>
      <c r="BG63" s="8" t="s">
        <v>214</v>
      </c>
      <c r="BH63" s="8" t="s">
        <v>215</v>
      </c>
    </row>
    <row r="64" spans="1:68" ht="15" customHeight="1" x14ac:dyDescent="0.25">
      <c r="I64" t="s">
        <v>71</v>
      </c>
      <c r="AQ64" s="2">
        <v>3740</v>
      </c>
      <c r="AR64" s="8"/>
      <c r="AS64" s="8"/>
      <c r="AT64" s="8"/>
      <c r="AU64" s="8"/>
      <c r="AV64" s="8"/>
      <c r="AW64" s="9"/>
      <c r="AX64" s="8"/>
      <c r="AY64" s="10"/>
      <c r="AZ64" s="10"/>
      <c r="BA64" s="11"/>
      <c r="BB64" s="12"/>
      <c r="BC64" s="12"/>
      <c r="BD64" s="12"/>
      <c r="BE64" s="12"/>
      <c r="BF64" s="8"/>
      <c r="BG64" s="8"/>
      <c r="BH64" s="8"/>
    </row>
    <row r="65" spans="1:60" ht="15" customHeight="1" x14ac:dyDescent="0.25">
      <c r="A65">
        <v>124</v>
      </c>
      <c r="E65" t="s">
        <v>40</v>
      </c>
      <c r="I65" t="s">
        <v>72</v>
      </c>
      <c r="N65" s="1">
        <v>45386</v>
      </c>
      <c r="R65" s="1">
        <v>45386</v>
      </c>
      <c r="V65" s="2">
        <v>3895</v>
      </c>
      <c r="Z65" s="2">
        <v>3780</v>
      </c>
      <c r="AA65">
        <v>-115</v>
      </c>
      <c r="AC65">
        <v>0</v>
      </c>
      <c r="AE65">
        <v>-115</v>
      </c>
      <c r="AG65">
        <v>0</v>
      </c>
      <c r="AI65">
        <v>0</v>
      </c>
      <c r="AK65">
        <v>0</v>
      </c>
      <c r="AN65">
        <v>0</v>
      </c>
      <c r="AQ65" s="2">
        <v>3780</v>
      </c>
      <c r="AR65" s="8">
        <v>28</v>
      </c>
      <c r="AS65" s="8">
        <f>A65</f>
        <v>124</v>
      </c>
      <c r="AT65" s="8" t="s">
        <v>213</v>
      </c>
      <c r="AU65" s="8" t="s">
        <v>208</v>
      </c>
      <c r="AV65" s="8" t="s">
        <v>209</v>
      </c>
      <c r="AW65" s="9">
        <v>610</v>
      </c>
      <c r="AX65" s="8"/>
      <c r="AY65" s="10">
        <v>1</v>
      </c>
      <c r="AZ65" s="10">
        <v>1</v>
      </c>
      <c r="BA65" s="11">
        <v>45386</v>
      </c>
      <c r="BB65" s="12">
        <f>IFERROR(VALUE(V65),0)</f>
        <v>3895</v>
      </c>
      <c r="BC65" s="12">
        <f>IFERROR(VALUE(Z65),0)</f>
        <v>3780</v>
      </c>
      <c r="BD65" s="12">
        <f>IFERROR(VALUE(AI65),0)</f>
        <v>0</v>
      </c>
      <c r="BE65" s="12">
        <f>IFERROR(VALUE(AG65),0)</f>
        <v>0</v>
      </c>
      <c r="BF65" s="8" t="str">
        <f>IF(AS65="","",AV65&amp;" | "&amp;AT65&amp;" | "&amp;AW65)</f>
        <v>IL | One Bedroom | 610</v>
      </c>
      <c r="BG65" s="8" t="s">
        <v>214</v>
      </c>
      <c r="BH65" s="8" t="s">
        <v>215</v>
      </c>
    </row>
    <row r="66" spans="1:60" ht="15" customHeight="1" x14ac:dyDescent="0.25">
      <c r="I66" t="s">
        <v>73</v>
      </c>
      <c r="AQ66" s="2">
        <v>3780</v>
      </c>
      <c r="AR66" s="8"/>
      <c r="AS66" s="8"/>
      <c r="AT66" s="8"/>
      <c r="AU66" s="8"/>
      <c r="AV66" s="8"/>
      <c r="AW66" s="9"/>
      <c r="AX66" s="8"/>
      <c r="AY66" s="10"/>
      <c r="AZ66" s="10"/>
      <c r="BA66" s="11"/>
      <c r="BB66" s="12"/>
      <c r="BC66" s="12"/>
      <c r="BD66" s="12"/>
      <c r="BE66" s="12"/>
      <c r="BF66" s="8"/>
      <c r="BG66" s="8"/>
      <c r="BH66" s="8"/>
    </row>
    <row r="67" spans="1:60" ht="15" customHeight="1" x14ac:dyDescent="0.25">
      <c r="A67">
        <v>125</v>
      </c>
      <c r="E67" t="s">
        <v>40</v>
      </c>
      <c r="I67" t="s">
        <v>74</v>
      </c>
      <c r="N67" s="1">
        <v>45978</v>
      </c>
      <c r="R67" s="1">
        <v>45978</v>
      </c>
      <c r="V67" s="2">
        <v>3895</v>
      </c>
      <c r="Z67" s="2">
        <v>3815</v>
      </c>
      <c r="AA67">
        <v>-80</v>
      </c>
      <c r="AC67">
        <v>0</v>
      </c>
      <c r="AE67">
        <v>-80</v>
      </c>
      <c r="AG67">
        <v>0</v>
      </c>
      <c r="AI67">
        <v>0</v>
      </c>
      <c r="AK67">
        <v>0</v>
      </c>
      <c r="AN67">
        <v>0</v>
      </c>
      <c r="AQ67" s="2">
        <v>3815</v>
      </c>
      <c r="AR67" s="8">
        <v>29</v>
      </c>
      <c r="AS67" s="8">
        <f>A67</f>
        <v>125</v>
      </c>
      <c r="AT67" s="8" t="s">
        <v>213</v>
      </c>
      <c r="AU67" s="8" t="s">
        <v>208</v>
      </c>
      <c r="AV67" s="8" t="s">
        <v>209</v>
      </c>
      <c r="AW67" s="9">
        <v>610</v>
      </c>
      <c r="AX67" s="8"/>
      <c r="AY67" s="10">
        <v>1</v>
      </c>
      <c r="AZ67" s="10">
        <v>1</v>
      </c>
      <c r="BA67" s="11">
        <v>45978</v>
      </c>
      <c r="BB67" s="12">
        <f>IFERROR(VALUE(V67),0)</f>
        <v>3895</v>
      </c>
      <c r="BC67" s="12">
        <f>IFERROR(VALUE(Z67),0)</f>
        <v>3815</v>
      </c>
      <c r="BD67" s="12">
        <f>IFERROR(VALUE(AI67),0)</f>
        <v>0</v>
      </c>
      <c r="BE67" s="12">
        <f>IFERROR(VALUE(AG67),0)</f>
        <v>0</v>
      </c>
      <c r="BF67" s="8" t="str">
        <f>IF(AS67="","",AV67&amp;" | "&amp;AT67&amp;" | "&amp;AW67)</f>
        <v>IL | One Bedroom | 610</v>
      </c>
      <c r="BG67" s="8" t="s">
        <v>214</v>
      </c>
      <c r="BH67" s="8" t="s">
        <v>215</v>
      </c>
    </row>
    <row r="68" spans="1:60" ht="15" customHeight="1" x14ac:dyDescent="0.25">
      <c r="I68" t="s">
        <v>75</v>
      </c>
      <c r="AQ68" s="2">
        <v>3815</v>
      </c>
      <c r="AR68" s="8"/>
      <c r="AS68" s="8"/>
      <c r="AT68" s="8"/>
      <c r="AU68" s="8"/>
      <c r="AV68" s="8"/>
      <c r="AW68" s="9"/>
      <c r="AX68" s="8"/>
      <c r="AY68" s="10"/>
      <c r="AZ68" s="10"/>
      <c r="BA68" s="11"/>
      <c r="BB68" s="12"/>
      <c r="BC68" s="12"/>
      <c r="BD68" s="12"/>
      <c r="BE68" s="12"/>
      <c r="BF68" s="8"/>
      <c r="BG68" s="8"/>
      <c r="BH68" s="8"/>
    </row>
    <row r="69" spans="1:60" ht="15" customHeight="1" x14ac:dyDescent="0.25">
      <c r="A69">
        <v>126</v>
      </c>
      <c r="E69" t="s">
        <v>40</v>
      </c>
      <c r="I69" t="s">
        <v>76</v>
      </c>
      <c r="N69" s="1">
        <v>46095</v>
      </c>
      <c r="R69" s="1">
        <v>46095</v>
      </c>
      <c r="V69" s="2">
        <v>3895</v>
      </c>
      <c r="Z69" s="2">
        <v>3855</v>
      </c>
      <c r="AA69">
        <v>-40</v>
      </c>
      <c r="AC69">
        <v>0</v>
      </c>
      <c r="AE69">
        <v>-40</v>
      </c>
      <c r="AG69">
        <v>0</v>
      </c>
      <c r="AI69">
        <v>0</v>
      </c>
      <c r="AK69">
        <v>0</v>
      </c>
      <c r="AN69">
        <v>0</v>
      </c>
      <c r="AQ69" s="2">
        <v>3855</v>
      </c>
      <c r="AR69" s="8">
        <v>30</v>
      </c>
      <c r="AS69" s="8">
        <f>A69</f>
        <v>126</v>
      </c>
      <c r="AT69" s="8" t="s">
        <v>213</v>
      </c>
      <c r="AU69" s="8" t="s">
        <v>208</v>
      </c>
      <c r="AV69" s="8" t="s">
        <v>209</v>
      </c>
      <c r="AW69" s="9">
        <v>610</v>
      </c>
      <c r="AX69" s="8"/>
      <c r="AY69" s="10">
        <v>1</v>
      </c>
      <c r="AZ69" s="10">
        <v>1</v>
      </c>
      <c r="BA69" s="11">
        <v>46095</v>
      </c>
      <c r="BB69" s="12">
        <f>IFERROR(VALUE(V69),0)</f>
        <v>3895</v>
      </c>
      <c r="BC69" s="12">
        <f>IFERROR(VALUE(Z69),0)</f>
        <v>3855</v>
      </c>
      <c r="BD69" s="12">
        <f>IFERROR(VALUE(AI69),0)</f>
        <v>0</v>
      </c>
      <c r="BE69" s="12">
        <f>IFERROR(VALUE(AG69),0)</f>
        <v>0</v>
      </c>
      <c r="BF69" s="8" t="str">
        <f>IF(AS69="","",AV69&amp;" | "&amp;AT69&amp;" | "&amp;AW69)</f>
        <v>IL | One Bedroom | 610</v>
      </c>
      <c r="BG69" s="8" t="s">
        <v>214</v>
      </c>
      <c r="BH69" s="8" t="s">
        <v>215</v>
      </c>
    </row>
    <row r="70" spans="1:60" ht="15" customHeight="1" x14ac:dyDescent="0.25">
      <c r="I70" t="s">
        <v>77</v>
      </c>
      <c r="AQ70" s="2">
        <v>3855</v>
      </c>
      <c r="AR70" s="8"/>
      <c r="AS70" s="8"/>
      <c r="AT70" s="8"/>
      <c r="AU70" s="8"/>
      <c r="AV70" s="8"/>
      <c r="AW70" s="9"/>
      <c r="AX70" s="8"/>
      <c r="AY70" s="10"/>
      <c r="AZ70" s="10"/>
      <c r="BA70" s="11"/>
      <c r="BB70" s="12"/>
      <c r="BC70" s="12"/>
      <c r="BD70" s="12"/>
      <c r="BE70" s="12"/>
      <c r="BF70" s="8"/>
      <c r="BG70" s="8"/>
      <c r="BH70" s="8"/>
    </row>
    <row r="71" spans="1:60" ht="15" customHeight="1" x14ac:dyDescent="0.25">
      <c r="A71">
        <v>127</v>
      </c>
      <c r="E71" t="s">
        <v>40</v>
      </c>
      <c r="I71" t="s">
        <v>78</v>
      </c>
      <c r="N71" s="1">
        <v>43481</v>
      </c>
      <c r="R71" s="1">
        <v>43481</v>
      </c>
      <c r="V71" s="2">
        <v>3895</v>
      </c>
      <c r="Z71" s="2">
        <v>3585</v>
      </c>
      <c r="AA71">
        <v>-310</v>
      </c>
      <c r="AC71">
        <v>0</v>
      </c>
      <c r="AE71">
        <v>-310</v>
      </c>
      <c r="AG71">
        <v>0</v>
      </c>
      <c r="AI71">
        <v>0</v>
      </c>
      <c r="AK71">
        <v>0</v>
      </c>
      <c r="AN71">
        <v>0</v>
      </c>
      <c r="AQ71" s="2">
        <v>3585</v>
      </c>
      <c r="AR71" s="8">
        <v>31</v>
      </c>
      <c r="AS71" s="8">
        <f>A71</f>
        <v>127</v>
      </c>
      <c r="AT71" s="8" t="s">
        <v>213</v>
      </c>
      <c r="AU71" s="8" t="s">
        <v>208</v>
      </c>
      <c r="AV71" s="8" t="s">
        <v>209</v>
      </c>
      <c r="AW71" s="9">
        <v>610</v>
      </c>
      <c r="AX71" s="8"/>
      <c r="AY71" s="10">
        <v>1</v>
      </c>
      <c r="AZ71" s="10">
        <v>1</v>
      </c>
      <c r="BA71" s="11">
        <v>43481</v>
      </c>
      <c r="BB71" s="12">
        <f>IFERROR(VALUE(V71),0)</f>
        <v>3895</v>
      </c>
      <c r="BC71" s="12">
        <f>IFERROR(VALUE(Z71),0)</f>
        <v>3585</v>
      </c>
      <c r="BD71" s="12">
        <f>IFERROR(VALUE(AI71),0)</f>
        <v>0</v>
      </c>
      <c r="BE71" s="12">
        <f>IFERROR(VALUE(AG71),0)</f>
        <v>0</v>
      </c>
      <c r="BF71" s="8" t="str">
        <f>IF(AS71="","",AV71&amp;" | "&amp;AT71&amp;" | "&amp;AW71)</f>
        <v>IL | One Bedroom | 610</v>
      </c>
      <c r="BG71" s="8" t="s">
        <v>214</v>
      </c>
      <c r="BH71" s="8" t="s">
        <v>215</v>
      </c>
    </row>
    <row r="72" spans="1:60" ht="15" customHeight="1" x14ac:dyDescent="0.25">
      <c r="I72" t="s">
        <v>79</v>
      </c>
      <c r="AQ72" s="2">
        <v>3585</v>
      </c>
      <c r="AR72" s="8"/>
      <c r="AS72" s="8"/>
      <c r="AT72" s="8"/>
      <c r="AU72" s="8"/>
      <c r="AV72" s="8"/>
      <c r="AW72" s="9"/>
      <c r="AX72" s="8"/>
      <c r="AY72" s="10"/>
      <c r="AZ72" s="10"/>
      <c r="BA72" s="11"/>
      <c r="BB72" s="12"/>
      <c r="BC72" s="12"/>
      <c r="BD72" s="12"/>
      <c r="BE72" s="12"/>
      <c r="BF72" s="8"/>
      <c r="BG72" s="8"/>
      <c r="BH72" s="8"/>
    </row>
    <row r="73" spans="1:60" ht="15" customHeight="1" x14ac:dyDescent="0.25">
      <c r="A73">
        <v>128</v>
      </c>
      <c r="E73" t="s">
        <v>40</v>
      </c>
      <c r="I73" t="s">
        <v>80</v>
      </c>
      <c r="N73" s="1">
        <v>44045</v>
      </c>
      <c r="R73" s="1">
        <v>44045</v>
      </c>
      <c r="V73" s="2">
        <v>3895</v>
      </c>
      <c r="Z73" s="2">
        <v>3620</v>
      </c>
      <c r="AA73">
        <v>-275</v>
      </c>
      <c r="AC73">
        <v>0</v>
      </c>
      <c r="AE73">
        <v>-275</v>
      </c>
      <c r="AG73">
        <v>0</v>
      </c>
      <c r="AI73">
        <v>0</v>
      </c>
      <c r="AK73">
        <v>0</v>
      </c>
      <c r="AN73">
        <v>0</v>
      </c>
      <c r="AQ73" s="2">
        <v>3620</v>
      </c>
      <c r="AR73" s="8">
        <v>32</v>
      </c>
      <c r="AS73" s="8">
        <f>A73</f>
        <v>128</v>
      </c>
      <c r="AT73" s="8" t="s">
        <v>213</v>
      </c>
      <c r="AU73" s="8" t="s">
        <v>208</v>
      </c>
      <c r="AV73" s="8" t="s">
        <v>209</v>
      </c>
      <c r="AW73" s="9">
        <v>610</v>
      </c>
      <c r="AX73" s="8"/>
      <c r="AY73" s="10">
        <v>1</v>
      </c>
      <c r="AZ73" s="10">
        <v>1</v>
      </c>
      <c r="BA73" s="11">
        <v>44045</v>
      </c>
      <c r="BB73" s="12">
        <f>IFERROR(VALUE(V73),0)</f>
        <v>3895</v>
      </c>
      <c r="BC73" s="12">
        <f>IFERROR(VALUE(Z73),0)</f>
        <v>3620</v>
      </c>
      <c r="BD73" s="12">
        <f>IFERROR(VALUE(AI73),0)</f>
        <v>0</v>
      </c>
      <c r="BE73" s="12">
        <f>IFERROR(VALUE(AG73),0)</f>
        <v>0</v>
      </c>
      <c r="BF73" s="8" t="str">
        <f>IF(AS73="","",AV73&amp;" | "&amp;AT73&amp;" | "&amp;AW73)</f>
        <v>IL | One Bedroom | 610</v>
      </c>
      <c r="BG73" s="8" t="s">
        <v>214</v>
      </c>
      <c r="BH73" s="8" t="s">
        <v>215</v>
      </c>
    </row>
    <row r="74" spans="1:60" ht="15" customHeight="1" x14ac:dyDescent="0.25">
      <c r="I74" t="s">
        <v>81</v>
      </c>
      <c r="AQ74" s="2">
        <v>3620</v>
      </c>
      <c r="AR74" s="8"/>
      <c r="AS74" s="8"/>
      <c r="AT74" s="8"/>
      <c r="AU74" s="8"/>
      <c r="AV74" s="8"/>
      <c r="AW74" s="9"/>
      <c r="AX74" s="8"/>
      <c r="AY74" s="10"/>
      <c r="AZ74" s="10"/>
      <c r="BA74" s="11"/>
      <c r="BB74" s="12"/>
      <c r="BC74" s="12"/>
      <c r="BD74" s="12"/>
      <c r="BE74" s="12"/>
      <c r="BF74" s="8"/>
      <c r="BG74" s="8"/>
      <c r="BH74" s="8"/>
    </row>
    <row r="75" spans="1:60" ht="15" customHeight="1" x14ac:dyDescent="0.25">
      <c r="A75">
        <v>129</v>
      </c>
      <c r="E75" t="s">
        <v>40</v>
      </c>
      <c r="I75" t="s">
        <v>82</v>
      </c>
      <c r="N75" s="1">
        <v>44270</v>
      </c>
      <c r="R75" s="1">
        <v>44270</v>
      </c>
      <c r="V75" s="2">
        <v>3895</v>
      </c>
      <c r="Z75" s="2">
        <v>3660</v>
      </c>
      <c r="AA75">
        <v>-235</v>
      </c>
      <c r="AC75">
        <v>0</v>
      </c>
      <c r="AE75">
        <v>-235</v>
      </c>
      <c r="AG75">
        <v>0</v>
      </c>
      <c r="AI75">
        <v>0</v>
      </c>
      <c r="AK75">
        <v>0</v>
      </c>
      <c r="AN75">
        <v>0</v>
      </c>
      <c r="AQ75" s="2">
        <v>3660</v>
      </c>
      <c r="AR75" s="8">
        <v>33</v>
      </c>
      <c r="AS75" s="8">
        <f>A75</f>
        <v>129</v>
      </c>
      <c r="AT75" s="8" t="s">
        <v>213</v>
      </c>
      <c r="AU75" s="8" t="s">
        <v>208</v>
      </c>
      <c r="AV75" s="8" t="s">
        <v>209</v>
      </c>
      <c r="AW75" s="9">
        <v>610</v>
      </c>
      <c r="AX75" s="8"/>
      <c r="AY75" s="10">
        <v>1</v>
      </c>
      <c r="AZ75" s="10">
        <v>1</v>
      </c>
      <c r="BA75" s="11">
        <v>44270</v>
      </c>
      <c r="BB75" s="12">
        <f>IFERROR(VALUE(V75),0)</f>
        <v>3895</v>
      </c>
      <c r="BC75" s="12">
        <f>IFERROR(VALUE(Z75),0)</f>
        <v>3660</v>
      </c>
      <c r="BD75" s="12">
        <f>IFERROR(VALUE(AI75),0)</f>
        <v>0</v>
      </c>
      <c r="BE75" s="12">
        <f>IFERROR(VALUE(AG75),0)</f>
        <v>0</v>
      </c>
      <c r="BF75" s="8" t="str">
        <f>IF(AS75="","",AV75&amp;" | "&amp;AT75&amp;" | "&amp;AW75)</f>
        <v>IL | One Bedroom | 610</v>
      </c>
      <c r="BG75" s="8" t="s">
        <v>214</v>
      </c>
      <c r="BH75" s="8" t="s">
        <v>215</v>
      </c>
    </row>
    <row r="76" spans="1:60" ht="15" customHeight="1" x14ac:dyDescent="0.25">
      <c r="I76" t="s">
        <v>83</v>
      </c>
      <c r="AQ76" s="2">
        <v>3660</v>
      </c>
      <c r="AR76" s="8"/>
      <c r="AS76" s="8"/>
      <c r="AT76" s="8"/>
      <c r="AU76" s="8"/>
      <c r="AV76" s="8"/>
      <c r="AW76" s="9"/>
      <c r="AX76" s="8"/>
      <c r="AY76" s="10"/>
      <c r="AZ76" s="10"/>
      <c r="BA76" s="11"/>
      <c r="BB76" s="12"/>
      <c r="BC76" s="12"/>
      <c r="BD76" s="12"/>
      <c r="BE76" s="12"/>
      <c r="BF76" s="8"/>
      <c r="BG76" s="8"/>
      <c r="BH76" s="8"/>
    </row>
    <row r="77" spans="1:60" ht="15" customHeight="1" x14ac:dyDescent="0.25">
      <c r="A77">
        <v>130</v>
      </c>
      <c r="E77" t="s">
        <v>40</v>
      </c>
      <c r="I77" t="s">
        <v>84</v>
      </c>
      <c r="N77" s="1">
        <v>44835</v>
      </c>
      <c r="R77" s="1">
        <v>44835</v>
      </c>
      <c r="V77" s="2">
        <v>3895</v>
      </c>
      <c r="Z77" s="2">
        <v>3700</v>
      </c>
      <c r="AA77">
        <v>-195</v>
      </c>
      <c r="AC77">
        <v>0</v>
      </c>
      <c r="AE77">
        <v>-195</v>
      </c>
      <c r="AG77">
        <v>0</v>
      </c>
      <c r="AI77">
        <v>0</v>
      </c>
      <c r="AK77">
        <v>0</v>
      </c>
      <c r="AN77">
        <v>0</v>
      </c>
      <c r="AQ77" s="2">
        <v>3700</v>
      </c>
      <c r="AR77" s="8">
        <v>34</v>
      </c>
      <c r="AS77" s="8">
        <f>A77</f>
        <v>130</v>
      </c>
      <c r="AT77" s="8" t="s">
        <v>213</v>
      </c>
      <c r="AU77" s="8" t="s">
        <v>208</v>
      </c>
      <c r="AV77" s="8" t="s">
        <v>209</v>
      </c>
      <c r="AW77" s="9">
        <v>610</v>
      </c>
      <c r="AX77" s="8"/>
      <c r="AY77" s="10">
        <v>1</v>
      </c>
      <c r="AZ77" s="10">
        <v>1</v>
      </c>
      <c r="BA77" s="11">
        <v>44835</v>
      </c>
      <c r="BB77" s="12">
        <f>IFERROR(VALUE(V77),0)</f>
        <v>3895</v>
      </c>
      <c r="BC77" s="12">
        <f>IFERROR(VALUE(Z77),0)</f>
        <v>3700</v>
      </c>
      <c r="BD77" s="12">
        <f>IFERROR(VALUE(AI77),0)</f>
        <v>0</v>
      </c>
      <c r="BE77" s="12">
        <f>IFERROR(VALUE(AG77),0)</f>
        <v>0</v>
      </c>
      <c r="BF77" s="8" t="str">
        <f>IF(AS77="","",AV77&amp;" | "&amp;AT77&amp;" | "&amp;AW77)</f>
        <v>IL | One Bedroom | 610</v>
      </c>
      <c r="BG77" s="8" t="s">
        <v>214</v>
      </c>
      <c r="BH77" s="8" t="s">
        <v>215</v>
      </c>
    </row>
    <row r="78" spans="1:60" ht="15" customHeight="1" x14ac:dyDescent="0.25">
      <c r="I78" t="s">
        <v>85</v>
      </c>
      <c r="AQ78" s="2">
        <v>3700</v>
      </c>
      <c r="AR78" s="8"/>
      <c r="AS78" s="8"/>
      <c r="AT78" s="8"/>
      <c r="AU78" s="8"/>
      <c r="AV78" s="8"/>
      <c r="AW78" s="9"/>
      <c r="AX78" s="8"/>
      <c r="AY78" s="10"/>
      <c r="AZ78" s="10"/>
      <c r="BA78" s="11"/>
      <c r="BB78" s="12"/>
      <c r="BC78" s="12"/>
      <c r="BD78" s="12"/>
      <c r="BE78" s="12"/>
      <c r="BF78" s="8"/>
      <c r="BG78" s="8"/>
      <c r="BH78" s="8"/>
    </row>
    <row r="79" spans="1:60" ht="15" customHeight="1" x14ac:dyDescent="0.25">
      <c r="A79">
        <v>131</v>
      </c>
      <c r="E79" t="s">
        <v>86</v>
      </c>
      <c r="I79" t="s">
        <v>87</v>
      </c>
      <c r="N79" s="1">
        <v>45060</v>
      </c>
      <c r="R79" s="1">
        <v>45060</v>
      </c>
      <c r="V79" s="2">
        <v>4695</v>
      </c>
      <c r="Z79" s="2">
        <v>4505</v>
      </c>
      <c r="AA79">
        <v>-190</v>
      </c>
      <c r="AC79">
        <v>0</v>
      </c>
      <c r="AE79">
        <v>-190</v>
      </c>
      <c r="AG79">
        <v>0</v>
      </c>
      <c r="AI79">
        <v>0</v>
      </c>
      <c r="AK79">
        <v>0</v>
      </c>
      <c r="AN79">
        <v>0</v>
      </c>
      <c r="AQ79" s="2">
        <v>4505</v>
      </c>
      <c r="AR79" s="8">
        <v>35</v>
      </c>
      <c r="AS79" s="8">
        <f>A79</f>
        <v>131</v>
      </c>
      <c r="AT79" s="8" t="s">
        <v>216</v>
      </c>
      <c r="AU79" s="8" t="s">
        <v>208</v>
      </c>
      <c r="AV79" s="8" t="s">
        <v>209</v>
      </c>
      <c r="AW79" s="9">
        <v>850</v>
      </c>
      <c r="AX79" s="8"/>
      <c r="AY79" s="10">
        <v>1</v>
      </c>
      <c r="AZ79" s="10">
        <v>1</v>
      </c>
      <c r="BA79" s="11">
        <v>45060</v>
      </c>
      <c r="BB79" s="12">
        <f>IFERROR(VALUE(V79),0)</f>
        <v>4695</v>
      </c>
      <c r="BC79" s="12">
        <f>IFERROR(VALUE(Z79),0)</f>
        <v>4505</v>
      </c>
      <c r="BD79" s="12">
        <f>IFERROR(VALUE(AI79),0)</f>
        <v>0</v>
      </c>
      <c r="BE79" s="12">
        <f>IFERROR(VALUE(AG79),0)</f>
        <v>0</v>
      </c>
      <c r="BF79" s="8" t="str">
        <f>IF(AS79="","",AV79&amp;" | "&amp;AT79&amp;" | "&amp;AW79)</f>
        <v>IL | Two Bedroom | 850</v>
      </c>
      <c r="BG79" s="8" t="s">
        <v>217</v>
      </c>
      <c r="BH79" s="8" t="s">
        <v>218</v>
      </c>
    </row>
    <row r="80" spans="1:60" ht="15" customHeight="1" x14ac:dyDescent="0.25">
      <c r="I80" t="s">
        <v>88</v>
      </c>
      <c r="AQ80" s="2">
        <v>4505</v>
      </c>
      <c r="AR80" s="8"/>
      <c r="AS80" s="8"/>
      <c r="AT80" s="8"/>
      <c r="AU80" s="8"/>
      <c r="AV80" s="8"/>
      <c r="AW80" s="9"/>
      <c r="AX80" s="8"/>
      <c r="AY80" s="10"/>
      <c r="AZ80" s="10"/>
      <c r="BA80" s="11"/>
      <c r="BB80" s="12"/>
      <c r="BC80" s="12"/>
      <c r="BD80" s="12"/>
      <c r="BE80" s="12"/>
      <c r="BF80" s="8"/>
      <c r="BG80" s="8"/>
      <c r="BH80" s="8"/>
    </row>
    <row r="81" spans="1:60" ht="15" customHeight="1" x14ac:dyDescent="0.25">
      <c r="A81">
        <v>132</v>
      </c>
      <c r="E81" t="s">
        <v>86</v>
      </c>
      <c r="I81" t="s">
        <v>89</v>
      </c>
      <c r="N81" s="1">
        <v>45653</v>
      </c>
      <c r="R81" s="1">
        <v>45653</v>
      </c>
      <c r="V81" s="2">
        <v>4695</v>
      </c>
      <c r="Z81" s="2">
        <v>4555</v>
      </c>
      <c r="AA81">
        <v>-140</v>
      </c>
      <c r="AC81">
        <v>0</v>
      </c>
      <c r="AE81">
        <v>-140</v>
      </c>
      <c r="AG81">
        <v>0</v>
      </c>
      <c r="AI81">
        <v>0</v>
      </c>
      <c r="AK81">
        <v>0</v>
      </c>
      <c r="AN81">
        <v>0</v>
      </c>
      <c r="AQ81" s="2">
        <v>4555</v>
      </c>
      <c r="AR81" s="8">
        <v>36</v>
      </c>
      <c r="AS81" s="8">
        <f>A81</f>
        <v>132</v>
      </c>
      <c r="AT81" s="8" t="s">
        <v>216</v>
      </c>
      <c r="AU81" s="8" t="s">
        <v>208</v>
      </c>
      <c r="AV81" s="8" t="s">
        <v>209</v>
      </c>
      <c r="AW81" s="9">
        <v>850</v>
      </c>
      <c r="AX81" s="8"/>
      <c r="AY81" s="10">
        <v>1</v>
      </c>
      <c r="AZ81" s="10">
        <v>1</v>
      </c>
      <c r="BA81" s="11">
        <v>45653</v>
      </c>
      <c r="BB81" s="12">
        <f>IFERROR(VALUE(V81),0)+IFERROR(VALUE(V82),0)</f>
        <v>4695</v>
      </c>
      <c r="BC81" s="12">
        <f>IFERROR(VALUE(Z81),0)+IFERROR(VALUE(Z82),0)</f>
        <v>4555</v>
      </c>
      <c r="BD81" s="12">
        <f>IFERROR(VALUE(AI81),0)+IFERROR(VALUE(AI82),0)</f>
        <v>0</v>
      </c>
      <c r="BE81" s="12">
        <f>IFERROR(VALUE(AG81),0)+IFERROR(VALUE(AG82),0)</f>
        <v>995</v>
      </c>
      <c r="BF81" s="8" t="str">
        <f>IF(AS81="","",AV81&amp;" | "&amp;AT81&amp;" | "&amp;AW81)</f>
        <v>IL | Two Bedroom | 850</v>
      </c>
      <c r="BG81" s="8" t="s">
        <v>217</v>
      </c>
      <c r="BH81" s="8" t="s">
        <v>218</v>
      </c>
    </row>
    <row r="82" spans="1:60" ht="15" customHeight="1" x14ac:dyDescent="0.25">
      <c r="I82" t="s">
        <v>90</v>
      </c>
      <c r="N82" s="1">
        <v>45653</v>
      </c>
      <c r="R82" s="1">
        <v>45653</v>
      </c>
      <c r="V82">
        <v>0</v>
      </c>
      <c r="Z82">
        <v>0</v>
      </c>
      <c r="AG82">
        <v>995</v>
      </c>
      <c r="AI82">
        <v>0</v>
      </c>
      <c r="AK82">
        <v>0</v>
      </c>
      <c r="AN82">
        <v>0</v>
      </c>
      <c r="AQ82">
        <v>995</v>
      </c>
      <c r="AR82" s="8">
        <v>37</v>
      </c>
      <c r="AS82" s="8">
        <f>A82</f>
        <v>0</v>
      </c>
      <c r="AT82" s="8" t="s">
        <v>216</v>
      </c>
      <c r="AU82" s="8" t="s">
        <v>212</v>
      </c>
      <c r="AV82" s="8" t="s">
        <v>209</v>
      </c>
      <c r="AW82" s="9">
        <v>0</v>
      </c>
      <c r="AX82" s="8"/>
      <c r="AY82" s="10">
        <v>0</v>
      </c>
      <c r="AZ82" s="10">
        <v>0</v>
      </c>
      <c r="BA82" s="11"/>
      <c r="BB82" s="12">
        <v>0</v>
      </c>
      <c r="BC82" s="12">
        <v>0</v>
      </c>
      <c r="BD82" s="12">
        <v>0</v>
      </c>
      <c r="BE82" s="12">
        <v>0</v>
      </c>
      <c r="BF82" s="8" t="str">
        <f>IF(AS82="","",AV82&amp;" | "&amp;AT82&amp;" | "&amp;AW82)</f>
        <v>IL | Two Bedroom | 0</v>
      </c>
      <c r="BG82" s="8" t="s">
        <v>217</v>
      </c>
      <c r="BH82" s="8" t="s">
        <v>218</v>
      </c>
    </row>
    <row r="83" spans="1:60" ht="15" customHeight="1" x14ac:dyDescent="0.25">
      <c r="I83" t="s">
        <v>91</v>
      </c>
      <c r="AQ83" s="2">
        <v>5550</v>
      </c>
      <c r="AR83" s="8"/>
      <c r="AS83" s="8"/>
      <c r="AT83" s="8"/>
      <c r="AU83" s="8"/>
      <c r="AV83" s="8"/>
      <c r="AW83" s="9"/>
      <c r="AX83" s="8"/>
      <c r="AY83" s="10"/>
      <c r="AZ83" s="10"/>
      <c r="BA83" s="11"/>
      <c r="BB83" s="12"/>
      <c r="BC83" s="12"/>
      <c r="BD83" s="12"/>
      <c r="BE83" s="12"/>
      <c r="BF83" s="8"/>
      <c r="BG83" s="8"/>
      <c r="BH83" s="8"/>
    </row>
    <row r="84" spans="1:60" ht="15" customHeight="1" x14ac:dyDescent="0.25">
      <c r="A84">
        <v>133</v>
      </c>
      <c r="E84" t="s">
        <v>86</v>
      </c>
      <c r="I84" t="s">
        <v>92</v>
      </c>
      <c r="N84" s="1">
        <v>45851</v>
      </c>
      <c r="R84" s="1">
        <v>45851</v>
      </c>
      <c r="V84" s="2">
        <v>4695</v>
      </c>
      <c r="Z84" s="2">
        <v>4600</v>
      </c>
      <c r="AA84">
        <v>-95</v>
      </c>
      <c r="AC84">
        <v>0</v>
      </c>
      <c r="AE84">
        <v>-95</v>
      </c>
      <c r="AG84">
        <v>0</v>
      </c>
      <c r="AI84">
        <v>0</v>
      </c>
      <c r="AK84">
        <v>0</v>
      </c>
      <c r="AN84">
        <v>0</v>
      </c>
      <c r="AQ84" s="2">
        <v>4600</v>
      </c>
      <c r="AR84" s="8">
        <v>38</v>
      </c>
      <c r="AS84" s="8">
        <f>A84</f>
        <v>133</v>
      </c>
      <c r="AT84" s="8" t="s">
        <v>216</v>
      </c>
      <c r="AU84" s="8" t="s">
        <v>208</v>
      </c>
      <c r="AV84" s="8" t="s">
        <v>209</v>
      </c>
      <c r="AW84" s="9">
        <v>850</v>
      </c>
      <c r="AX84" s="8"/>
      <c r="AY84" s="10">
        <v>1</v>
      </c>
      <c r="AZ84" s="10">
        <v>1</v>
      </c>
      <c r="BA84" s="11">
        <v>45851</v>
      </c>
      <c r="BB84" s="12">
        <f>IFERROR(VALUE(V84),0)</f>
        <v>4695</v>
      </c>
      <c r="BC84" s="12">
        <f>IFERROR(VALUE(Z84),0)</f>
        <v>4600</v>
      </c>
      <c r="BD84" s="12">
        <f>IFERROR(VALUE(AI84),0)</f>
        <v>0</v>
      </c>
      <c r="BE84" s="12">
        <f>IFERROR(VALUE(AG84),0)</f>
        <v>0</v>
      </c>
      <c r="BF84" s="8" t="str">
        <f>IF(AS84="","",AV84&amp;" | "&amp;AT84&amp;" | "&amp;AW84)</f>
        <v>IL | Two Bedroom | 850</v>
      </c>
      <c r="BG84" s="8" t="s">
        <v>217</v>
      </c>
      <c r="BH84" s="8" t="s">
        <v>218</v>
      </c>
    </row>
    <row r="85" spans="1:60" ht="15" customHeight="1" x14ac:dyDescent="0.25">
      <c r="I85" t="s">
        <v>93</v>
      </c>
      <c r="AQ85" s="2">
        <v>4600</v>
      </c>
      <c r="AR85" s="8"/>
      <c r="AS85" s="8"/>
      <c r="AT85" s="8"/>
      <c r="AU85" s="8"/>
      <c r="AV85" s="8"/>
      <c r="AW85" s="9"/>
      <c r="AX85" s="8"/>
      <c r="AY85" s="10"/>
      <c r="AZ85" s="10"/>
      <c r="BA85" s="11"/>
      <c r="BB85" s="12"/>
      <c r="BC85" s="12"/>
      <c r="BD85" s="12"/>
      <c r="BE85" s="12"/>
      <c r="BF85" s="8"/>
      <c r="BG85" s="8"/>
      <c r="BH85" s="8"/>
    </row>
    <row r="86" spans="1:60" ht="15" customHeight="1" x14ac:dyDescent="0.25">
      <c r="A86">
        <v>134</v>
      </c>
      <c r="E86" t="s">
        <v>86</v>
      </c>
      <c r="I86" t="s">
        <v>94</v>
      </c>
      <c r="N86" s="1">
        <v>46068</v>
      </c>
      <c r="R86" s="1">
        <v>46068</v>
      </c>
      <c r="V86" s="2">
        <v>4695</v>
      </c>
      <c r="Z86" s="2">
        <v>4650</v>
      </c>
      <c r="AA86">
        <v>-45</v>
      </c>
      <c r="AC86">
        <v>0</v>
      </c>
      <c r="AE86">
        <v>-45</v>
      </c>
      <c r="AG86">
        <v>0</v>
      </c>
      <c r="AI86">
        <v>0</v>
      </c>
      <c r="AK86">
        <v>0</v>
      </c>
      <c r="AN86">
        <v>0</v>
      </c>
      <c r="AQ86" s="2">
        <v>4650</v>
      </c>
      <c r="AR86" s="8">
        <v>39</v>
      </c>
      <c r="AS86" s="8">
        <f>A86</f>
        <v>134</v>
      </c>
      <c r="AT86" s="8" t="s">
        <v>216</v>
      </c>
      <c r="AU86" s="8" t="s">
        <v>208</v>
      </c>
      <c r="AV86" s="8" t="s">
        <v>209</v>
      </c>
      <c r="AW86" s="9">
        <v>850</v>
      </c>
      <c r="AX86" s="8"/>
      <c r="AY86" s="10">
        <v>1</v>
      </c>
      <c r="AZ86" s="10">
        <v>1</v>
      </c>
      <c r="BA86" s="11">
        <v>46068</v>
      </c>
      <c r="BB86" s="12">
        <f>IFERROR(VALUE(V86),0)</f>
        <v>4695</v>
      </c>
      <c r="BC86" s="12">
        <f>IFERROR(VALUE(Z86),0)</f>
        <v>4650</v>
      </c>
      <c r="BD86" s="12">
        <f>IFERROR(VALUE(AI86),0)</f>
        <v>0</v>
      </c>
      <c r="BE86" s="12">
        <f>IFERROR(VALUE(AG86),0)</f>
        <v>0</v>
      </c>
      <c r="BF86" s="8" t="str">
        <f>IF(AS86="","",AV86&amp;" | "&amp;AT86&amp;" | "&amp;AW86)</f>
        <v>IL | Two Bedroom | 850</v>
      </c>
      <c r="BG86" s="8" t="s">
        <v>217</v>
      </c>
      <c r="BH86" s="8" t="s">
        <v>218</v>
      </c>
    </row>
    <row r="87" spans="1:60" ht="15" customHeight="1" x14ac:dyDescent="0.25">
      <c r="I87" t="s">
        <v>95</v>
      </c>
      <c r="AQ87" s="2">
        <v>4650</v>
      </c>
      <c r="AR87" s="8"/>
      <c r="AS87" s="8"/>
      <c r="AT87" s="8"/>
      <c r="AU87" s="8"/>
      <c r="AV87" s="8"/>
      <c r="AW87" s="9"/>
      <c r="AX87" s="8"/>
      <c r="AY87" s="10"/>
      <c r="AZ87" s="10"/>
      <c r="BA87" s="11"/>
      <c r="BB87" s="12"/>
      <c r="BC87" s="12"/>
      <c r="BD87" s="12"/>
      <c r="BE87" s="12"/>
      <c r="BF87" s="8"/>
      <c r="BG87" s="8"/>
      <c r="BH87" s="8"/>
    </row>
    <row r="88" spans="1:60" ht="15" customHeight="1" x14ac:dyDescent="0.25">
      <c r="A88">
        <v>135</v>
      </c>
      <c r="E88" t="s">
        <v>86</v>
      </c>
      <c r="I88" t="s">
        <v>96</v>
      </c>
      <c r="N88" s="1">
        <v>43720</v>
      </c>
      <c r="R88" s="1">
        <v>43720</v>
      </c>
      <c r="V88" s="2">
        <v>4695</v>
      </c>
      <c r="Z88" s="2">
        <v>4320</v>
      </c>
      <c r="AA88">
        <v>-375</v>
      </c>
      <c r="AC88">
        <v>0</v>
      </c>
      <c r="AE88">
        <v>-375</v>
      </c>
      <c r="AG88">
        <v>0</v>
      </c>
      <c r="AI88">
        <v>0</v>
      </c>
      <c r="AK88">
        <v>0</v>
      </c>
      <c r="AN88">
        <v>0</v>
      </c>
      <c r="AQ88" s="2">
        <v>4320</v>
      </c>
      <c r="AR88" s="8">
        <v>40</v>
      </c>
      <c r="AS88" s="8">
        <f>A88</f>
        <v>135</v>
      </c>
      <c r="AT88" s="8" t="s">
        <v>216</v>
      </c>
      <c r="AU88" s="8" t="s">
        <v>208</v>
      </c>
      <c r="AV88" s="8" t="s">
        <v>209</v>
      </c>
      <c r="AW88" s="9">
        <v>850</v>
      </c>
      <c r="AX88" s="8"/>
      <c r="AY88" s="10">
        <v>1</v>
      </c>
      <c r="AZ88" s="10">
        <v>1</v>
      </c>
      <c r="BA88" s="11">
        <v>43720</v>
      </c>
      <c r="BB88" s="12">
        <f>IFERROR(VALUE(V88),0)</f>
        <v>4695</v>
      </c>
      <c r="BC88" s="12">
        <f>IFERROR(VALUE(Z88),0)</f>
        <v>4320</v>
      </c>
      <c r="BD88" s="12">
        <f>IFERROR(VALUE(AI88),0)</f>
        <v>0</v>
      </c>
      <c r="BE88" s="12">
        <f>IFERROR(VALUE(AG88),0)</f>
        <v>0</v>
      </c>
      <c r="BF88" s="8" t="str">
        <f>IF(AS88="","",AV88&amp;" | "&amp;AT88&amp;" | "&amp;AW88)</f>
        <v>IL | Two Bedroom | 850</v>
      </c>
      <c r="BG88" s="8" t="s">
        <v>217</v>
      </c>
      <c r="BH88" s="8" t="s">
        <v>218</v>
      </c>
    </row>
    <row r="89" spans="1:60" ht="15" customHeight="1" x14ac:dyDescent="0.25">
      <c r="I89" t="s">
        <v>97</v>
      </c>
      <c r="AQ89" s="2">
        <v>4320</v>
      </c>
      <c r="AR89" s="8"/>
      <c r="AS89" s="8"/>
      <c r="AT89" s="8"/>
      <c r="AU89" s="8"/>
      <c r="AV89" s="8"/>
      <c r="AW89" s="9"/>
      <c r="AX89" s="8"/>
      <c r="AY89" s="10"/>
      <c r="AZ89" s="10"/>
      <c r="BA89" s="11"/>
      <c r="BB89" s="12"/>
      <c r="BC89" s="12"/>
      <c r="BD89" s="12"/>
      <c r="BE89" s="12"/>
      <c r="BF89" s="8"/>
      <c r="BG89" s="8"/>
      <c r="BH89" s="8"/>
    </row>
    <row r="90" spans="1:60" ht="15" customHeight="1" x14ac:dyDescent="0.25">
      <c r="A90">
        <v>136</v>
      </c>
      <c r="E90" t="s">
        <v>86</v>
      </c>
      <c r="I90" t="s">
        <v>30</v>
      </c>
      <c r="V90" s="2">
        <v>4695</v>
      </c>
      <c r="Z90">
        <v>0</v>
      </c>
      <c r="AA90">
        <v>0</v>
      </c>
      <c r="AC90" s="2">
        <v>4695</v>
      </c>
      <c r="AE90" s="2">
        <v>4695</v>
      </c>
      <c r="AQ90">
        <v>0</v>
      </c>
      <c r="AR90" s="8">
        <v>41</v>
      </c>
      <c r="AS90" s="8">
        <f>A90</f>
        <v>136</v>
      </c>
      <c r="AT90" s="8" t="s">
        <v>216</v>
      </c>
      <c r="AU90" s="8" t="s">
        <v>208</v>
      </c>
      <c r="AV90" s="8" t="s">
        <v>209</v>
      </c>
      <c r="AW90" s="9">
        <v>850</v>
      </c>
      <c r="AX90" s="8"/>
      <c r="AY90" s="10">
        <v>1</v>
      </c>
      <c r="AZ90" s="10">
        <v>0</v>
      </c>
      <c r="BA90" s="11"/>
      <c r="BB90" s="12">
        <f>IFERROR(VALUE(V90),0)</f>
        <v>4695</v>
      </c>
      <c r="BC90" s="12">
        <v>0</v>
      </c>
      <c r="BD90" s="12">
        <v>0</v>
      </c>
      <c r="BE90" s="12">
        <v>0</v>
      </c>
      <c r="BF90" s="8" t="str">
        <f>IF(AS90="","",AV90&amp;" | "&amp;AT90&amp;" | "&amp;AW90)</f>
        <v>IL | Two Bedroom | 850</v>
      </c>
      <c r="BG90" s="8" t="s">
        <v>217</v>
      </c>
      <c r="BH90" s="8" t="s">
        <v>218</v>
      </c>
    </row>
    <row r="91" spans="1:60" ht="15" customHeight="1" x14ac:dyDescent="0.25">
      <c r="I91" t="s">
        <v>98</v>
      </c>
      <c r="AQ91">
        <v>0</v>
      </c>
      <c r="AR91" s="8"/>
      <c r="AS91" s="8"/>
      <c r="AT91" s="8"/>
      <c r="AU91" s="8"/>
      <c r="AV91" s="8"/>
      <c r="AW91" s="9"/>
      <c r="AX91" s="8"/>
      <c r="AY91" s="10"/>
      <c r="AZ91" s="10"/>
      <c r="BA91" s="11"/>
      <c r="BB91" s="12"/>
      <c r="BC91" s="12"/>
      <c r="BD91" s="12"/>
      <c r="BE91" s="12"/>
      <c r="BF91" s="8"/>
      <c r="BG91" s="8"/>
      <c r="BH91" s="8"/>
    </row>
    <row r="92" spans="1:60" ht="15" customHeight="1" x14ac:dyDescent="0.25">
      <c r="A92">
        <v>137</v>
      </c>
      <c r="E92" t="s">
        <v>86</v>
      </c>
      <c r="I92" t="s">
        <v>99</v>
      </c>
      <c r="N92" s="1">
        <v>43946</v>
      </c>
      <c r="R92" s="1">
        <v>43946</v>
      </c>
      <c r="V92" s="2">
        <v>4695</v>
      </c>
      <c r="Z92" s="2">
        <v>4365</v>
      </c>
      <c r="AA92">
        <v>-330</v>
      </c>
      <c r="AC92">
        <v>0</v>
      </c>
      <c r="AE92">
        <v>-330</v>
      </c>
      <c r="AG92">
        <v>0</v>
      </c>
      <c r="AI92">
        <v>0</v>
      </c>
      <c r="AK92">
        <v>0</v>
      </c>
      <c r="AN92">
        <v>0</v>
      </c>
      <c r="AQ92" s="2">
        <v>4365</v>
      </c>
      <c r="AR92" s="8">
        <v>42</v>
      </c>
      <c r="AS92" s="8">
        <f>A92</f>
        <v>137</v>
      </c>
      <c r="AT92" s="8" t="s">
        <v>216</v>
      </c>
      <c r="AU92" s="8" t="s">
        <v>208</v>
      </c>
      <c r="AV92" s="8" t="s">
        <v>209</v>
      </c>
      <c r="AW92" s="9">
        <v>850</v>
      </c>
      <c r="AX92" s="8"/>
      <c r="AY92" s="10">
        <v>1</v>
      </c>
      <c r="AZ92" s="10">
        <v>1</v>
      </c>
      <c r="BA92" s="11">
        <v>43946</v>
      </c>
      <c r="BB92" s="12">
        <f>IFERROR(VALUE(V92),0)</f>
        <v>4695</v>
      </c>
      <c r="BC92" s="12">
        <f>IFERROR(VALUE(Z92),0)</f>
        <v>4365</v>
      </c>
      <c r="BD92" s="12">
        <f>IFERROR(VALUE(AI92),0)</f>
        <v>0</v>
      </c>
      <c r="BE92" s="12">
        <f>IFERROR(VALUE(AG92),0)</f>
        <v>0</v>
      </c>
      <c r="BF92" s="8" t="str">
        <f>IF(AS92="","",AV92&amp;" | "&amp;AT92&amp;" | "&amp;AW92)</f>
        <v>IL | Two Bedroom | 850</v>
      </c>
      <c r="BG92" s="8" t="s">
        <v>217</v>
      </c>
      <c r="BH92" s="8" t="s">
        <v>218</v>
      </c>
    </row>
    <row r="93" spans="1:60" ht="15" customHeight="1" x14ac:dyDescent="0.25">
      <c r="I93" t="s">
        <v>100</v>
      </c>
      <c r="AQ93" s="2">
        <v>4365</v>
      </c>
      <c r="AR93" s="8"/>
      <c r="AS93" s="8"/>
      <c r="AT93" s="8"/>
      <c r="AU93" s="8"/>
      <c r="AV93" s="8"/>
      <c r="AW93" s="9"/>
      <c r="AX93" s="8"/>
      <c r="AY93" s="10"/>
      <c r="AZ93" s="10"/>
      <c r="BA93" s="11"/>
      <c r="BB93" s="12"/>
      <c r="BC93" s="12"/>
      <c r="BD93" s="12"/>
      <c r="BE93" s="12"/>
      <c r="BF93" s="8"/>
      <c r="BG93" s="8"/>
      <c r="BH93" s="8"/>
    </row>
    <row r="94" spans="1:60" ht="15" customHeight="1" x14ac:dyDescent="0.25">
      <c r="A94">
        <v>138</v>
      </c>
      <c r="E94" t="s">
        <v>86</v>
      </c>
      <c r="I94" t="s">
        <v>101</v>
      </c>
      <c r="N94" s="1">
        <v>44511</v>
      </c>
      <c r="R94" s="1">
        <v>44511</v>
      </c>
      <c r="V94" s="2">
        <v>4695</v>
      </c>
      <c r="Z94" s="2">
        <v>4415</v>
      </c>
      <c r="AA94">
        <v>-280</v>
      </c>
      <c r="AC94">
        <v>0</v>
      </c>
      <c r="AE94">
        <v>-280</v>
      </c>
      <c r="AG94">
        <v>0</v>
      </c>
      <c r="AI94">
        <v>0</v>
      </c>
      <c r="AK94">
        <v>0</v>
      </c>
      <c r="AN94">
        <v>0</v>
      </c>
      <c r="AQ94" s="2">
        <v>4415</v>
      </c>
      <c r="AR94" s="8">
        <v>43</v>
      </c>
      <c r="AS94" s="8">
        <f>A94</f>
        <v>138</v>
      </c>
      <c r="AT94" s="8" t="s">
        <v>216</v>
      </c>
      <c r="AU94" s="8" t="s">
        <v>208</v>
      </c>
      <c r="AV94" s="8" t="s">
        <v>209</v>
      </c>
      <c r="AW94" s="9">
        <v>850</v>
      </c>
      <c r="AX94" s="8"/>
      <c r="AY94" s="10">
        <v>1</v>
      </c>
      <c r="AZ94" s="10">
        <v>1</v>
      </c>
      <c r="BA94" s="11">
        <v>44511</v>
      </c>
      <c r="BB94" s="12">
        <f>IFERROR(VALUE(V94),0)</f>
        <v>4695</v>
      </c>
      <c r="BC94" s="12">
        <f>IFERROR(VALUE(Z94),0)</f>
        <v>4415</v>
      </c>
      <c r="BD94" s="12">
        <f>IFERROR(VALUE(AI94),0)</f>
        <v>0</v>
      </c>
      <c r="BE94" s="12">
        <f>IFERROR(VALUE(AG94),0)</f>
        <v>0</v>
      </c>
      <c r="BF94" s="8" t="str">
        <f>IF(AS94="","",AV94&amp;" | "&amp;AT94&amp;" | "&amp;AW94)</f>
        <v>IL | Two Bedroom | 850</v>
      </c>
      <c r="BG94" s="8" t="s">
        <v>217</v>
      </c>
      <c r="BH94" s="8" t="s">
        <v>218</v>
      </c>
    </row>
    <row r="95" spans="1:60" ht="15" customHeight="1" x14ac:dyDescent="0.25">
      <c r="I95" t="s">
        <v>102</v>
      </c>
      <c r="AQ95" s="2">
        <v>4415</v>
      </c>
      <c r="AR95" s="8"/>
      <c r="AS95" s="8"/>
      <c r="AT95" s="8"/>
      <c r="AU95" s="8"/>
      <c r="AV95" s="8"/>
      <c r="AW95" s="9"/>
      <c r="AX95" s="8"/>
      <c r="AY95" s="10"/>
      <c r="AZ95" s="10"/>
      <c r="BA95" s="11"/>
      <c r="BB95" s="12"/>
      <c r="BC95" s="12"/>
      <c r="BD95" s="12"/>
      <c r="BE95" s="12"/>
      <c r="BF95" s="8"/>
      <c r="BG95" s="8"/>
      <c r="BH95" s="8"/>
    </row>
    <row r="96" spans="1:60" ht="15" customHeight="1" x14ac:dyDescent="0.25">
      <c r="A96">
        <v>139</v>
      </c>
      <c r="E96" t="s">
        <v>86</v>
      </c>
      <c r="I96" t="s">
        <v>103</v>
      </c>
      <c r="N96" s="1">
        <v>44736</v>
      </c>
      <c r="R96" s="1">
        <v>44736</v>
      </c>
      <c r="V96" s="2">
        <v>4695</v>
      </c>
      <c r="Z96" s="2">
        <v>4460</v>
      </c>
      <c r="AA96">
        <v>-235</v>
      </c>
      <c r="AC96">
        <v>0</v>
      </c>
      <c r="AE96">
        <v>-235</v>
      </c>
      <c r="AG96">
        <v>0</v>
      </c>
      <c r="AI96">
        <v>0</v>
      </c>
      <c r="AK96">
        <v>0</v>
      </c>
      <c r="AN96">
        <v>0</v>
      </c>
      <c r="AQ96" s="2">
        <v>4460</v>
      </c>
      <c r="AR96" s="8">
        <v>44</v>
      </c>
      <c r="AS96" s="8">
        <f>A96</f>
        <v>139</v>
      </c>
      <c r="AT96" s="8" t="s">
        <v>216</v>
      </c>
      <c r="AU96" s="8" t="s">
        <v>208</v>
      </c>
      <c r="AV96" s="8" t="s">
        <v>209</v>
      </c>
      <c r="AW96" s="9">
        <v>850</v>
      </c>
      <c r="AX96" s="8"/>
      <c r="AY96" s="10">
        <v>1</v>
      </c>
      <c r="AZ96" s="10">
        <v>1</v>
      </c>
      <c r="BA96" s="11">
        <v>44736</v>
      </c>
      <c r="BB96" s="12">
        <f>IFERROR(VALUE(V96),0)</f>
        <v>4695</v>
      </c>
      <c r="BC96" s="12">
        <f>IFERROR(VALUE(Z96),0)</f>
        <v>4460</v>
      </c>
      <c r="BD96" s="12">
        <f>IFERROR(VALUE(AI96),0)</f>
        <v>0</v>
      </c>
      <c r="BE96" s="12">
        <f>IFERROR(VALUE(AG96),0)</f>
        <v>0</v>
      </c>
      <c r="BF96" s="8" t="str">
        <f>IF(AS96="","",AV96&amp;" | "&amp;AT96&amp;" | "&amp;AW96)</f>
        <v>IL | Two Bedroom | 850</v>
      </c>
      <c r="BG96" s="8" t="s">
        <v>217</v>
      </c>
      <c r="BH96" s="8" t="s">
        <v>218</v>
      </c>
    </row>
    <row r="97" spans="1:60" ht="15" customHeight="1" x14ac:dyDescent="0.25">
      <c r="I97" t="s">
        <v>104</v>
      </c>
      <c r="AQ97" s="2">
        <v>4460</v>
      </c>
      <c r="AR97" s="8"/>
      <c r="AS97" s="8"/>
      <c r="AT97" s="8"/>
      <c r="AU97" s="8"/>
      <c r="AV97" s="8"/>
      <c r="AW97" s="9"/>
      <c r="AX97" s="8"/>
      <c r="AY97" s="10"/>
      <c r="AZ97" s="10"/>
      <c r="BA97" s="11"/>
      <c r="BB97" s="12"/>
      <c r="BC97" s="12"/>
      <c r="BD97" s="12"/>
      <c r="BE97" s="12"/>
      <c r="BF97" s="8"/>
      <c r="BG97" s="8"/>
      <c r="BH97" s="8"/>
    </row>
    <row r="98" spans="1:60" ht="15" customHeight="1" x14ac:dyDescent="0.25">
      <c r="A98">
        <v>140</v>
      </c>
      <c r="E98" t="s">
        <v>86</v>
      </c>
      <c r="I98" t="s">
        <v>105</v>
      </c>
      <c r="N98" s="1">
        <v>46147</v>
      </c>
      <c r="R98" s="1">
        <v>46147</v>
      </c>
      <c r="V98" s="2">
        <v>4695</v>
      </c>
      <c r="Z98" s="2">
        <v>4695</v>
      </c>
      <c r="AA98">
        <v>0</v>
      </c>
      <c r="AC98">
        <v>0</v>
      </c>
      <c r="AE98">
        <v>0</v>
      </c>
      <c r="AG98">
        <v>0</v>
      </c>
      <c r="AI98">
        <v>0</v>
      </c>
      <c r="AK98">
        <v>0</v>
      </c>
      <c r="AN98">
        <v>0</v>
      </c>
      <c r="AQ98" s="2">
        <v>4695</v>
      </c>
      <c r="AR98" s="8">
        <v>45</v>
      </c>
      <c r="AS98" s="8">
        <f>A98</f>
        <v>140</v>
      </c>
      <c r="AT98" s="8" t="s">
        <v>216</v>
      </c>
      <c r="AU98" s="8" t="s">
        <v>208</v>
      </c>
      <c r="AV98" s="8" t="s">
        <v>209</v>
      </c>
      <c r="AW98" s="9">
        <v>850</v>
      </c>
      <c r="AX98" s="8"/>
      <c r="AY98" s="10">
        <v>1</v>
      </c>
      <c r="AZ98" s="10">
        <v>1</v>
      </c>
      <c r="BA98" s="11">
        <v>46147</v>
      </c>
      <c r="BB98" s="12">
        <f>IFERROR(VALUE(V98),0)</f>
        <v>4695</v>
      </c>
      <c r="BC98" s="12">
        <f>IFERROR(VALUE(Z98),0)</f>
        <v>4695</v>
      </c>
      <c r="BD98" s="12">
        <f>IFERROR(VALUE(AI98),0)</f>
        <v>0</v>
      </c>
      <c r="BE98" s="12">
        <f>IFERROR(VALUE(AG98),0)</f>
        <v>0</v>
      </c>
      <c r="BF98" s="8" t="str">
        <f>IF(AS98="","",AV98&amp;" | "&amp;AT98&amp;" | "&amp;AW98)</f>
        <v>IL | Two Bedroom | 850</v>
      </c>
      <c r="BG98" s="8" t="s">
        <v>217</v>
      </c>
      <c r="BH98" s="8" t="s">
        <v>218</v>
      </c>
    </row>
    <row r="99" spans="1:60" ht="15" customHeight="1" x14ac:dyDescent="0.25">
      <c r="I99" t="s">
        <v>106</v>
      </c>
      <c r="AQ99" s="2">
        <v>4695</v>
      </c>
      <c r="AR99" s="8"/>
      <c r="AS99" s="8"/>
      <c r="AT99" s="8"/>
      <c r="AU99" s="8"/>
      <c r="AV99" s="8"/>
      <c r="AW99" s="9"/>
      <c r="AX99" s="8"/>
      <c r="AY99" s="10"/>
      <c r="AZ99" s="10"/>
      <c r="BA99" s="11"/>
      <c r="BB99" s="12"/>
      <c r="BC99" s="12"/>
      <c r="BD99" s="12"/>
      <c r="BE99" s="12"/>
      <c r="BF99" s="8"/>
      <c r="BG99" s="8"/>
      <c r="BH99" s="8"/>
    </row>
    <row r="100" spans="1:60" ht="15" customHeight="1" x14ac:dyDescent="0.25">
      <c r="I100" t="s">
        <v>107</v>
      </c>
      <c r="AQ100" s="2">
        <v>145510</v>
      </c>
      <c r="AR100" s="8"/>
      <c r="AS100" s="8"/>
      <c r="AT100" s="8"/>
      <c r="AU100" s="8"/>
      <c r="AV100" s="8"/>
      <c r="AW100" s="9"/>
      <c r="AX100" s="8"/>
      <c r="AY100" s="10"/>
      <c r="AZ100" s="10"/>
      <c r="BA100" s="11"/>
      <c r="BB100" s="12"/>
      <c r="BC100" s="12"/>
      <c r="BD100" s="12"/>
      <c r="BE100" s="12"/>
      <c r="BF100" s="8"/>
      <c r="BG100" s="8"/>
      <c r="BH100" s="8"/>
    </row>
    <row r="101" spans="1:60" ht="15" customHeight="1" x14ac:dyDescent="0.25">
      <c r="A101" t="s">
        <v>108</v>
      </c>
      <c r="AR101" s="8"/>
      <c r="AS101" s="8"/>
      <c r="AT101" s="8"/>
      <c r="AU101" s="8"/>
      <c r="AV101" s="8"/>
      <c r="AW101" s="9"/>
      <c r="AX101" s="8"/>
      <c r="AY101" s="10"/>
      <c r="AZ101" s="10"/>
      <c r="BA101" s="11"/>
      <c r="BB101" s="12"/>
      <c r="BC101" s="12"/>
      <c r="BD101" s="12"/>
      <c r="BE101" s="12"/>
      <c r="BF101" s="8"/>
      <c r="BG101" s="8"/>
      <c r="BH101" s="8"/>
    </row>
    <row r="102" spans="1:60" ht="15" customHeight="1" x14ac:dyDescent="0.25">
      <c r="A102">
        <v>201</v>
      </c>
      <c r="E102" t="s">
        <v>109</v>
      </c>
      <c r="I102" t="s">
        <v>110</v>
      </c>
      <c r="N102" s="1">
        <v>43466</v>
      </c>
      <c r="R102" s="1">
        <v>43466</v>
      </c>
      <c r="V102" s="2">
        <v>4495</v>
      </c>
      <c r="Z102" s="2">
        <v>4135</v>
      </c>
      <c r="AA102">
        <v>-360</v>
      </c>
      <c r="AC102">
        <v>0</v>
      </c>
      <c r="AE102">
        <v>-360</v>
      </c>
      <c r="AG102">
        <v>0</v>
      </c>
      <c r="AI102">
        <v>595</v>
      </c>
      <c r="AK102">
        <v>0</v>
      </c>
      <c r="AN102">
        <v>0</v>
      </c>
      <c r="AQ102" s="2">
        <v>4730</v>
      </c>
      <c r="AR102" s="8">
        <v>46</v>
      </c>
      <c r="AS102" s="8">
        <f>A102</f>
        <v>201</v>
      </c>
      <c r="AT102" s="8" t="s">
        <v>207</v>
      </c>
      <c r="AU102" s="8" t="s">
        <v>208</v>
      </c>
      <c r="AV102" s="8" t="s">
        <v>219</v>
      </c>
      <c r="AW102" s="9">
        <v>380</v>
      </c>
      <c r="AX102" s="8"/>
      <c r="AY102" s="10">
        <v>1</v>
      </c>
      <c r="AZ102" s="10">
        <v>1</v>
      </c>
      <c r="BA102" s="11">
        <v>43466</v>
      </c>
      <c r="BB102" s="12">
        <f>IFERROR(VALUE(V102),0)</f>
        <v>4495</v>
      </c>
      <c r="BC102" s="12">
        <f>IFERROR(VALUE(Z102),0)</f>
        <v>4135</v>
      </c>
      <c r="BD102" s="12">
        <f>IFERROR(VALUE(AI102),0)</f>
        <v>595</v>
      </c>
      <c r="BE102" s="12">
        <f>IFERROR(VALUE(AG102),0)</f>
        <v>0</v>
      </c>
      <c r="BF102" s="8" t="str">
        <f>IF(AS102="","",AV102&amp;" | "&amp;AT102&amp;" | "&amp;AW102)</f>
        <v>AL | Studio | 380</v>
      </c>
      <c r="BG102" s="8" t="s">
        <v>220</v>
      </c>
      <c r="BH102" s="8" t="s">
        <v>221</v>
      </c>
    </row>
    <row r="103" spans="1:60" ht="15" customHeight="1" x14ac:dyDescent="0.25">
      <c r="I103" t="s">
        <v>111</v>
      </c>
      <c r="AQ103" s="2">
        <v>4730</v>
      </c>
      <c r="AR103" s="8"/>
      <c r="AS103" s="8"/>
      <c r="AT103" s="8"/>
      <c r="AU103" s="8"/>
      <c r="AV103" s="8"/>
      <c r="AW103" s="9"/>
      <c r="AX103" s="8"/>
      <c r="AY103" s="10"/>
      <c r="AZ103" s="10"/>
      <c r="BA103" s="11"/>
      <c r="BB103" s="12"/>
      <c r="BC103" s="12"/>
      <c r="BD103" s="12"/>
      <c r="BE103" s="12"/>
      <c r="BF103" s="8"/>
      <c r="BG103" s="8"/>
      <c r="BH103" s="8"/>
    </row>
    <row r="104" spans="1:60" ht="15" customHeight="1" x14ac:dyDescent="0.25">
      <c r="A104">
        <v>202</v>
      </c>
      <c r="E104" t="s">
        <v>109</v>
      </c>
      <c r="I104" t="s">
        <v>112</v>
      </c>
      <c r="N104" s="1">
        <v>44057</v>
      </c>
      <c r="R104" s="1">
        <v>44057</v>
      </c>
      <c r="V104" s="2">
        <v>4495</v>
      </c>
      <c r="Z104" s="2">
        <v>4180</v>
      </c>
      <c r="AA104">
        <v>-315</v>
      </c>
      <c r="AC104">
        <v>0</v>
      </c>
      <c r="AE104">
        <v>-315</v>
      </c>
      <c r="AG104">
        <v>0</v>
      </c>
      <c r="AI104">
        <v>595</v>
      </c>
      <c r="AK104">
        <v>0</v>
      </c>
      <c r="AN104">
        <v>0</v>
      </c>
      <c r="AQ104" s="2">
        <v>4775</v>
      </c>
      <c r="AR104" s="8">
        <v>47</v>
      </c>
      <c r="AS104" s="8">
        <f>A104</f>
        <v>202</v>
      </c>
      <c r="AT104" s="8" t="s">
        <v>207</v>
      </c>
      <c r="AU104" s="8" t="s">
        <v>208</v>
      </c>
      <c r="AV104" s="8" t="s">
        <v>219</v>
      </c>
      <c r="AW104" s="9">
        <v>380</v>
      </c>
      <c r="AX104" s="8"/>
      <c r="AY104" s="10">
        <v>1</v>
      </c>
      <c r="AZ104" s="10">
        <v>1</v>
      </c>
      <c r="BA104" s="11">
        <v>44057</v>
      </c>
      <c r="BB104" s="12">
        <f>IFERROR(VALUE(V104),0)+IFERROR(VALUE(V105),0)</f>
        <v>4495</v>
      </c>
      <c r="BC104" s="12">
        <f>IFERROR(VALUE(Z104),0)+IFERROR(VALUE(Z105),0)</f>
        <v>4180</v>
      </c>
      <c r="BD104" s="12">
        <f>IFERROR(VALUE(AI104),0)+IFERROR(VALUE(AI105),0)</f>
        <v>595</v>
      </c>
      <c r="BE104" s="12">
        <f>IFERROR(VALUE(AG104),0)+IFERROR(VALUE(AG105),0)</f>
        <v>995</v>
      </c>
      <c r="BF104" s="8" t="str">
        <f>IF(AS104="","",AV104&amp;" | "&amp;AT104&amp;" | "&amp;AW104)</f>
        <v>AL | Studio | 380</v>
      </c>
      <c r="BG104" s="8" t="s">
        <v>220</v>
      </c>
      <c r="BH104" s="8" t="s">
        <v>221</v>
      </c>
    </row>
    <row r="105" spans="1:60" ht="15" customHeight="1" x14ac:dyDescent="0.25">
      <c r="I105" t="s">
        <v>113</v>
      </c>
      <c r="N105" s="1">
        <v>44057</v>
      </c>
      <c r="R105" s="1">
        <v>44057</v>
      </c>
      <c r="V105">
        <v>0</v>
      </c>
      <c r="Z105">
        <v>0</v>
      </c>
      <c r="AG105">
        <v>995</v>
      </c>
      <c r="AI105">
        <v>0</v>
      </c>
      <c r="AK105">
        <v>0</v>
      </c>
      <c r="AN105">
        <v>0</v>
      </c>
      <c r="AQ105">
        <v>995</v>
      </c>
      <c r="AR105" s="8">
        <v>48</v>
      </c>
      <c r="AS105" s="8">
        <f>A105</f>
        <v>0</v>
      </c>
      <c r="AT105" s="8" t="s">
        <v>207</v>
      </c>
      <c r="AU105" s="8" t="s">
        <v>212</v>
      </c>
      <c r="AV105" s="8" t="s">
        <v>219</v>
      </c>
      <c r="AW105" s="9">
        <v>0</v>
      </c>
      <c r="AX105" s="8"/>
      <c r="AY105" s="10">
        <v>0</v>
      </c>
      <c r="AZ105" s="10">
        <v>0</v>
      </c>
      <c r="BA105" s="11"/>
      <c r="BB105" s="12">
        <v>0</v>
      </c>
      <c r="BC105" s="12">
        <v>0</v>
      </c>
      <c r="BD105" s="12">
        <v>0</v>
      </c>
      <c r="BE105" s="12">
        <v>0</v>
      </c>
      <c r="BF105" s="8" t="str">
        <f>IF(AS105="","",AV105&amp;" | "&amp;AT105&amp;" | "&amp;AW105)</f>
        <v>AL | Studio | 0</v>
      </c>
      <c r="BG105" s="8" t="s">
        <v>220</v>
      </c>
      <c r="BH105" s="8" t="s">
        <v>221</v>
      </c>
    </row>
    <row r="106" spans="1:60" ht="15" customHeight="1" x14ac:dyDescent="0.25">
      <c r="I106" t="s">
        <v>114</v>
      </c>
      <c r="AQ106" s="2">
        <v>5770</v>
      </c>
      <c r="AR106" s="8"/>
      <c r="AS106" s="8"/>
      <c r="AT106" s="8"/>
      <c r="AU106" s="8"/>
      <c r="AV106" s="8"/>
      <c r="AW106" s="9"/>
      <c r="AX106" s="8"/>
      <c r="AY106" s="10"/>
      <c r="AZ106" s="10"/>
      <c r="BA106" s="11"/>
      <c r="BB106" s="12"/>
      <c r="BC106" s="12"/>
      <c r="BD106" s="12"/>
      <c r="BE106" s="12"/>
      <c r="BF106" s="8"/>
      <c r="BG106" s="8"/>
      <c r="BH106" s="8"/>
    </row>
    <row r="107" spans="1:60" ht="15" customHeight="1" x14ac:dyDescent="0.25">
      <c r="A107">
        <v>203</v>
      </c>
      <c r="E107" t="s">
        <v>109</v>
      </c>
      <c r="I107" t="s">
        <v>115</v>
      </c>
      <c r="N107" s="1">
        <v>44282</v>
      </c>
      <c r="R107" s="1">
        <v>44282</v>
      </c>
      <c r="V107" s="2">
        <v>4495</v>
      </c>
      <c r="Z107" s="2">
        <v>4225</v>
      </c>
      <c r="AA107">
        <v>-270</v>
      </c>
      <c r="AC107">
        <v>0</v>
      </c>
      <c r="AE107">
        <v>-270</v>
      </c>
      <c r="AG107">
        <v>0</v>
      </c>
      <c r="AI107">
        <v>595</v>
      </c>
      <c r="AK107">
        <v>0</v>
      </c>
      <c r="AN107">
        <v>0</v>
      </c>
      <c r="AQ107" s="2">
        <v>4820</v>
      </c>
      <c r="AR107" s="8">
        <v>49</v>
      </c>
      <c r="AS107" s="8">
        <f>A107</f>
        <v>203</v>
      </c>
      <c r="AT107" s="8" t="s">
        <v>207</v>
      </c>
      <c r="AU107" s="8" t="s">
        <v>208</v>
      </c>
      <c r="AV107" s="8" t="s">
        <v>219</v>
      </c>
      <c r="AW107" s="9">
        <v>380</v>
      </c>
      <c r="AX107" s="8"/>
      <c r="AY107" s="10">
        <v>1</v>
      </c>
      <c r="AZ107" s="10">
        <v>1</v>
      </c>
      <c r="BA107" s="11">
        <v>44282</v>
      </c>
      <c r="BB107" s="12">
        <f>IFERROR(VALUE(V107),0)</f>
        <v>4495</v>
      </c>
      <c r="BC107" s="12">
        <f>IFERROR(VALUE(Z107),0)</f>
        <v>4225</v>
      </c>
      <c r="BD107" s="12">
        <f>IFERROR(VALUE(AI107),0)</f>
        <v>595</v>
      </c>
      <c r="BE107" s="12">
        <f>IFERROR(VALUE(AG107),0)</f>
        <v>0</v>
      </c>
      <c r="BF107" s="8" t="str">
        <f>IF(AS107="","",AV107&amp;" | "&amp;AT107&amp;" | "&amp;AW107)</f>
        <v>AL | Studio | 380</v>
      </c>
      <c r="BG107" s="8" t="s">
        <v>220</v>
      </c>
      <c r="BH107" s="8" t="s">
        <v>221</v>
      </c>
    </row>
    <row r="108" spans="1:60" ht="15" customHeight="1" x14ac:dyDescent="0.25">
      <c r="I108" t="s">
        <v>116</v>
      </c>
      <c r="AQ108" s="2">
        <v>4820</v>
      </c>
      <c r="AR108" s="8"/>
      <c r="AS108" s="8"/>
      <c r="AT108" s="8"/>
      <c r="AU108" s="8"/>
      <c r="AV108" s="8"/>
      <c r="AW108" s="9"/>
      <c r="AX108" s="8"/>
      <c r="AY108" s="10"/>
      <c r="AZ108" s="10"/>
      <c r="BA108" s="11"/>
      <c r="BB108" s="12"/>
      <c r="BC108" s="12"/>
      <c r="BD108" s="12"/>
      <c r="BE108" s="12"/>
      <c r="BF108" s="8"/>
      <c r="BG108" s="8"/>
      <c r="BH108" s="8"/>
    </row>
    <row r="109" spans="1:60" ht="15" customHeight="1" x14ac:dyDescent="0.25">
      <c r="A109">
        <v>204</v>
      </c>
      <c r="E109" t="s">
        <v>109</v>
      </c>
      <c r="I109" t="s">
        <v>117</v>
      </c>
      <c r="N109" s="1">
        <v>44847</v>
      </c>
      <c r="R109" s="1">
        <v>44847</v>
      </c>
      <c r="V109" s="2">
        <v>4495</v>
      </c>
      <c r="Z109" s="2">
        <v>4270</v>
      </c>
      <c r="AA109">
        <v>-225</v>
      </c>
      <c r="AC109">
        <v>0</v>
      </c>
      <c r="AE109">
        <v>-225</v>
      </c>
      <c r="AG109">
        <v>0</v>
      </c>
      <c r="AI109">
        <v>595</v>
      </c>
      <c r="AK109">
        <v>0</v>
      </c>
      <c r="AN109">
        <v>0</v>
      </c>
      <c r="AQ109" s="2">
        <v>4865</v>
      </c>
      <c r="AR109" s="8">
        <v>50</v>
      </c>
      <c r="AS109" s="8">
        <f>A109</f>
        <v>204</v>
      </c>
      <c r="AT109" s="8" t="s">
        <v>207</v>
      </c>
      <c r="AU109" s="8" t="s">
        <v>208</v>
      </c>
      <c r="AV109" s="8" t="s">
        <v>219</v>
      </c>
      <c r="AW109" s="9">
        <v>380</v>
      </c>
      <c r="AX109" s="8"/>
      <c r="AY109" s="10">
        <v>1</v>
      </c>
      <c r="AZ109" s="10">
        <v>1</v>
      </c>
      <c r="BA109" s="11">
        <v>44847</v>
      </c>
      <c r="BB109" s="12">
        <f>IFERROR(VALUE(V109),0)</f>
        <v>4495</v>
      </c>
      <c r="BC109" s="12">
        <f>IFERROR(VALUE(Z109),0)</f>
        <v>4270</v>
      </c>
      <c r="BD109" s="12">
        <f>IFERROR(VALUE(AI109),0)</f>
        <v>595</v>
      </c>
      <c r="BE109" s="12">
        <f>IFERROR(VALUE(AG109),0)</f>
        <v>0</v>
      </c>
      <c r="BF109" s="8" t="str">
        <f>IF(AS109="","",AV109&amp;" | "&amp;AT109&amp;" | "&amp;AW109)</f>
        <v>AL | Studio | 380</v>
      </c>
      <c r="BG109" s="8" t="s">
        <v>220</v>
      </c>
      <c r="BH109" s="8" t="s">
        <v>221</v>
      </c>
    </row>
    <row r="110" spans="1:60" ht="15" customHeight="1" x14ac:dyDescent="0.25">
      <c r="I110" t="s">
        <v>118</v>
      </c>
      <c r="AQ110" s="2">
        <v>4865</v>
      </c>
      <c r="AR110" s="8"/>
      <c r="AS110" s="8"/>
      <c r="AT110" s="8"/>
      <c r="AU110" s="8"/>
      <c r="AV110" s="8"/>
      <c r="AW110" s="9"/>
      <c r="AX110" s="8"/>
      <c r="AY110" s="10"/>
      <c r="AZ110" s="10"/>
      <c r="BA110" s="11"/>
      <c r="BB110" s="12"/>
      <c r="BC110" s="12"/>
      <c r="BD110" s="12"/>
      <c r="BE110" s="12"/>
      <c r="BF110" s="8"/>
      <c r="BG110" s="8"/>
      <c r="BH110" s="8"/>
    </row>
    <row r="111" spans="1:60" ht="15" customHeight="1" x14ac:dyDescent="0.25">
      <c r="A111">
        <v>205</v>
      </c>
      <c r="E111" t="s">
        <v>109</v>
      </c>
      <c r="I111" t="s">
        <v>30</v>
      </c>
      <c r="V111" s="2">
        <v>4495</v>
      </c>
      <c r="Z111">
        <v>0</v>
      </c>
      <c r="AA111">
        <v>0</v>
      </c>
      <c r="AC111" s="2">
        <v>4495</v>
      </c>
      <c r="AE111" s="2">
        <v>4495</v>
      </c>
      <c r="AQ111">
        <v>0</v>
      </c>
      <c r="AR111" s="8">
        <v>51</v>
      </c>
      <c r="AS111" s="8">
        <f>A111</f>
        <v>205</v>
      </c>
      <c r="AT111" s="8" t="s">
        <v>207</v>
      </c>
      <c r="AU111" s="8" t="s">
        <v>208</v>
      </c>
      <c r="AV111" s="8" t="s">
        <v>219</v>
      </c>
      <c r="AW111" s="9">
        <v>380</v>
      </c>
      <c r="AX111" s="8"/>
      <c r="AY111" s="10">
        <v>1</v>
      </c>
      <c r="AZ111" s="10">
        <v>0</v>
      </c>
      <c r="BA111" s="11"/>
      <c r="BB111" s="12">
        <f>IFERROR(VALUE(V111),0)</f>
        <v>4495</v>
      </c>
      <c r="BC111" s="12">
        <v>0</v>
      </c>
      <c r="BD111" s="12">
        <v>0</v>
      </c>
      <c r="BE111" s="12">
        <v>0</v>
      </c>
      <c r="BF111" s="8" t="str">
        <f>IF(AS111="","",AV111&amp;" | "&amp;AT111&amp;" | "&amp;AW111)</f>
        <v>AL | Studio | 380</v>
      </c>
      <c r="BG111" s="8" t="s">
        <v>220</v>
      </c>
      <c r="BH111" s="8" t="s">
        <v>221</v>
      </c>
    </row>
    <row r="112" spans="1:60" ht="15" customHeight="1" x14ac:dyDescent="0.25">
      <c r="I112" t="s">
        <v>119</v>
      </c>
      <c r="AQ112">
        <v>0</v>
      </c>
      <c r="AR112" s="8"/>
      <c r="AS112" s="8"/>
      <c r="AT112" s="8"/>
      <c r="AU112" s="8"/>
      <c r="AV112" s="8"/>
      <c r="AW112" s="9"/>
      <c r="AX112" s="8"/>
      <c r="AY112" s="10"/>
      <c r="AZ112" s="10"/>
      <c r="BA112" s="11"/>
      <c r="BB112" s="12"/>
      <c r="BC112" s="12"/>
      <c r="BD112" s="12"/>
      <c r="BE112" s="12"/>
      <c r="BF112" s="8"/>
      <c r="BG112" s="8"/>
      <c r="BH112" s="8"/>
    </row>
    <row r="113" spans="1:60" ht="15" customHeight="1" x14ac:dyDescent="0.25">
      <c r="A113">
        <v>206</v>
      </c>
      <c r="E113" t="s">
        <v>109</v>
      </c>
      <c r="I113" t="s">
        <v>120</v>
      </c>
      <c r="N113" s="1">
        <v>45072</v>
      </c>
      <c r="R113" s="1">
        <v>45072</v>
      </c>
      <c r="V113" s="2">
        <v>4495</v>
      </c>
      <c r="Z113" s="2">
        <v>4315</v>
      </c>
      <c r="AA113">
        <v>-180</v>
      </c>
      <c r="AC113">
        <v>0</v>
      </c>
      <c r="AE113">
        <v>-180</v>
      </c>
      <c r="AG113">
        <v>0</v>
      </c>
      <c r="AI113">
        <v>595</v>
      </c>
      <c r="AK113">
        <v>0</v>
      </c>
      <c r="AN113">
        <v>0</v>
      </c>
      <c r="AQ113" s="2">
        <v>4910</v>
      </c>
      <c r="AR113" s="8">
        <v>52</v>
      </c>
      <c r="AS113" s="8">
        <f>A113</f>
        <v>206</v>
      </c>
      <c r="AT113" s="8" t="s">
        <v>207</v>
      </c>
      <c r="AU113" s="8" t="s">
        <v>208</v>
      </c>
      <c r="AV113" s="8" t="s">
        <v>219</v>
      </c>
      <c r="AW113" s="9">
        <v>380</v>
      </c>
      <c r="AX113" s="8"/>
      <c r="AY113" s="10">
        <v>1</v>
      </c>
      <c r="AZ113" s="10">
        <v>1</v>
      </c>
      <c r="BA113" s="11">
        <v>45072</v>
      </c>
      <c r="BB113" s="12">
        <f>IFERROR(VALUE(V113),0)+IFERROR(VALUE(V114),0)</f>
        <v>4495</v>
      </c>
      <c r="BC113" s="12">
        <f>IFERROR(VALUE(Z113),0)+IFERROR(VALUE(Z114),0)</f>
        <v>4315</v>
      </c>
      <c r="BD113" s="12">
        <f>IFERROR(VALUE(AI113),0)+IFERROR(VALUE(AI114),0)</f>
        <v>595</v>
      </c>
      <c r="BE113" s="12">
        <f>IFERROR(VALUE(AG113),0)+IFERROR(VALUE(AG114),0)</f>
        <v>995</v>
      </c>
      <c r="BF113" s="8" t="str">
        <f>IF(AS113="","",AV113&amp;" | "&amp;AT113&amp;" | "&amp;AW113)</f>
        <v>AL | Studio | 380</v>
      </c>
      <c r="BG113" s="8" t="s">
        <v>220</v>
      </c>
      <c r="BH113" s="8" t="s">
        <v>221</v>
      </c>
    </row>
    <row r="114" spans="1:60" ht="15" customHeight="1" x14ac:dyDescent="0.25">
      <c r="I114" t="s">
        <v>121</v>
      </c>
      <c r="N114" s="1">
        <v>45072</v>
      </c>
      <c r="R114" s="1">
        <v>45072</v>
      </c>
      <c r="V114">
        <v>0</v>
      </c>
      <c r="Z114">
        <v>0</v>
      </c>
      <c r="AG114">
        <v>995</v>
      </c>
      <c r="AI114">
        <v>0</v>
      </c>
      <c r="AK114">
        <v>0</v>
      </c>
      <c r="AN114">
        <v>0</v>
      </c>
      <c r="AQ114">
        <v>995</v>
      </c>
      <c r="AR114" s="8">
        <v>53</v>
      </c>
      <c r="AS114" s="8">
        <f>A114</f>
        <v>0</v>
      </c>
      <c r="AT114" s="8" t="s">
        <v>207</v>
      </c>
      <c r="AU114" s="8" t="s">
        <v>212</v>
      </c>
      <c r="AV114" s="8" t="s">
        <v>219</v>
      </c>
      <c r="AW114" s="9">
        <v>0</v>
      </c>
      <c r="AX114" s="8"/>
      <c r="AY114" s="10">
        <v>0</v>
      </c>
      <c r="AZ114" s="10">
        <v>0</v>
      </c>
      <c r="BA114" s="11"/>
      <c r="BB114" s="12">
        <v>0</v>
      </c>
      <c r="BC114" s="12">
        <v>0</v>
      </c>
      <c r="BD114" s="12">
        <v>0</v>
      </c>
      <c r="BE114" s="12">
        <v>0</v>
      </c>
      <c r="BF114" s="8" t="str">
        <f>IF(AS114="","",AV114&amp;" | "&amp;AT114&amp;" | "&amp;AW114)</f>
        <v>AL | Studio | 0</v>
      </c>
      <c r="BG114" s="8" t="s">
        <v>220</v>
      </c>
      <c r="BH114" s="8" t="s">
        <v>221</v>
      </c>
    </row>
    <row r="115" spans="1:60" ht="15" customHeight="1" x14ac:dyDescent="0.25">
      <c r="I115" t="s">
        <v>122</v>
      </c>
      <c r="AQ115" s="2">
        <v>5905</v>
      </c>
      <c r="AR115" s="8"/>
      <c r="AS115" s="8"/>
      <c r="AT115" s="8"/>
      <c r="AU115" s="8"/>
      <c r="AV115" s="8"/>
      <c r="AW115" s="9"/>
      <c r="AX115" s="8"/>
      <c r="AY115" s="10"/>
      <c r="AZ115" s="10"/>
      <c r="BA115" s="11"/>
      <c r="BB115" s="12"/>
      <c r="BC115" s="12"/>
      <c r="BD115" s="12"/>
      <c r="BE115" s="12"/>
      <c r="BF115" s="8"/>
      <c r="BG115" s="8"/>
      <c r="BH115" s="8"/>
    </row>
    <row r="116" spans="1:60" ht="15" customHeight="1" x14ac:dyDescent="0.25">
      <c r="A116">
        <v>207</v>
      </c>
      <c r="E116" t="s">
        <v>109</v>
      </c>
      <c r="I116" t="s">
        <v>123</v>
      </c>
      <c r="N116" s="1">
        <v>45638</v>
      </c>
      <c r="R116" s="1">
        <v>45638</v>
      </c>
      <c r="V116" s="2">
        <v>4495</v>
      </c>
      <c r="Z116" s="2">
        <v>4360</v>
      </c>
      <c r="AA116">
        <v>-135</v>
      </c>
      <c r="AC116">
        <v>0</v>
      </c>
      <c r="AE116">
        <v>-135</v>
      </c>
      <c r="AG116">
        <v>0</v>
      </c>
      <c r="AI116">
        <v>595</v>
      </c>
      <c r="AK116">
        <v>0</v>
      </c>
      <c r="AN116">
        <v>0</v>
      </c>
      <c r="AQ116" s="2">
        <v>4955</v>
      </c>
      <c r="AR116" s="8">
        <v>54</v>
      </c>
      <c r="AS116" s="8">
        <f>A116</f>
        <v>207</v>
      </c>
      <c r="AT116" s="8" t="s">
        <v>207</v>
      </c>
      <c r="AU116" s="8" t="s">
        <v>208</v>
      </c>
      <c r="AV116" s="8" t="s">
        <v>219</v>
      </c>
      <c r="AW116" s="9">
        <v>380</v>
      </c>
      <c r="AX116" s="8"/>
      <c r="AY116" s="10">
        <v>1</v>
      </c>
      <c r="AZ116" s="10">
        <v>1</v>
      </c>
      <c r="BA116" s="11">
        <v>45638</v>
      </c>
      <c r="BB116" s="12">
        <f>IFERROR(VALUE(V116),0)</f>
        <v>4495</v>
      </c>
      <c r="BC116" s="12">
        <f>IFERROR(VALUE(Z116),0)</f>
        <v>4360</v>
      </c>
      <c r="BD116" s="12">
        <f>IFERROR(VALUE(AI116),0)</f>
        <v>595</v>
      </c>
      <c r="BE116" s="12">
        <f>IFERROR(VALUE(AG116),0)</f>
        <v>0</v>
      </c>
      <c r="BF116" s="8" t="str">
        <f>IF(AS116="","",AV116&amp;" | "&amp;AT116&amp;" | "&amp;AW116)</f>
        <v>AL | Studio | 380</v>
      </c>
      <c r="BG116" s="8" t="s">
        <v>220</v>
      </c>
      <c r="BH116" s="8" t="s">
        <v>221</v>
      </c>
    </row>
    <row r="117" spans="1:60" ht="15" customHeight="1" x14ac:dyDescent="0.25">
      <c r="I117" t="s">
        <v>124</v>
      </c>
      <c r="AQ117" s="2">
        <v>4955</v>
      </c>
      <c r="AR117" s="8"/>
      <c r="AS117" s="8"/>
      <c r="AT117" s="8"/>
      <c r="AU117" s="8"/>
      <c r="AV117" s="8"/>
      <c r="AW117" s="9"/>
      <c r="AX117" s="8"/>
      <c r="AY117" s="10"/>
      <c r="AZ117" s="10"/>
      <c r="BA117" s="11"/>
      <c r="BB117" s="12"/>
      <c r="BC117" s="12"/>
      <c r="BD117" s="12"/>
      <c r="BE117" s="12"/>
      <c r="BF117" s="8"/>
      <c r="BG117" s="8"/>
      <c r="BH117" s="8"/>
    </row>
    <row r="118" spans="1:60" ht="15" customHeight="1" x14ac:dyDescent="0.25">
      <c r="A118">
        <v>208</v>
      </c>
      <c r="E118" t="s">
        <v>109</v>
      </c>
      <c r="I118" t="s">
        <v>125</v>
      </c>
      <c r="N118" s="1">
        <v>45863</v>
      </c>
      <c r="R118" s="1">
        <v>45863</v>
      </c>
      <c r="V118" s="2">
        <v>4495</v>
      </c>
      <c r="Z118" s="2">
        <v>4405</v>
      </c>
      <c r="AA118">
        <v>-90</v>
      </c>
      <c r="AC118">
        <v>0</v>
      </c>
      <c r="AE118">
        <v>-90</v>
      </c>
      <c r="AG118">
        <v>0</v>
      </c>
      <c r="AI118">
        <v>595</v>
      </c>
      <c r="AK118">
        <v>0</v>
      </c>
      <c r="AN118">
        <v>0</v>
      </c>
      <c r="AQ118" s="2">
        <v>5000</v>
      </c>
      <c r="AR118" s="8">
        <v>55</v>
      </c>
      <c r="AS118" s="8">
        <f>A118</f>
        <v>208</v>
      </c>
      <c r="AT118" s="8" t="s">
        <v>207</v>
      </c>
      <c r="AU118" s="8" t="s">
        <v>208</v>
      </c>
      <c r="AV118" s="8" t="s">
        <v>219</v>
      </c>
      <c r="AW118" s="9">
        <v>380</v>
      </c>
      <c r="AX118" s="8"/>
      <c r="AY118" s="10">
        <v>1</v>
      </c>
      <c r="AZ118" s="10">
        <v>1</v>
      </c>
      <c r="BA118" s="11">
        <v>45863</v>
      </c>
      <c r="BB118" s="12">
        <f>IFERROR(VALUE(V118),0)</f>
        <v>4495</v>
      </c>
      <c r="BC118" s="12">
        <f>IFERROR(VALUE(Z118),0)</f>
        <v>4405</v>
      </c>
      <c r="BD118" s="12">
        <f>IFERROR(VALUE(AI118),0)</f>
        <v>595</v>
      </c>
      <c r="BE118" s="12">
        <f>IFERROR(VALUE(AG118),0)</f>
        <v>0</v>
      </c>
      <c r="BF118" s="8" t="str">
        <f>IF(AS118="","",AV118&amp;" | "&amp;AT118&amp;" | "&amp;AW118)</f>
        <v>AL | Studio | 380</v>
      </c>
      <c r="BG118" s="8" t="s">
        <v>220</v>
      </c>
      <c r="BH118" s="8" t="s">
        <v>221</v>
      </c>
    </row>
    <row r="119" spans="1:60" ht="15" customHeight="1" x14ac:dyDescent="0.25">
      <c r="I119" t="s">
        <v>126</v>
      </c>
      <c r="AQ119" s="2">
        <v>5000</v>
      </c>
      <c r="AR119" s="8"/>
      <c r="AS119" s="8"/>
      <c r="AT119" s="8"/>
      <c r="AU119" s="8"/>
      <c r="AV119" s="8"/>
      <c r="AW119" s="9"/>
      <c r="AX119" s="8"/>
      <c r="AY119" s="10"/>
      <c r="AZ119" s="10"/>
      <c r="BA119" s="11"/>
      <c r="BB119" s="12"/>
      <c r="BC119" s="12"/>
      <c r="BD119" s="12"/>
      <c r="BE119" s="12"/>
      <c r="BF119" s="8"/>
      <c r="BG119" s="8"/>
      <c r="BH119" s="8"/>
    </row>
    <row r="120" spans="1:60" ht="15" customHeight="1" x14ac:dyDescent="0.25">
      <c r="A120">
        <v>209</v>
      </c>
      <c r="E120" t="s">
        <v>109</v>
      </c>
      <c r="I120" t="s">
        <v>127</v>
      </c>
      <c r="N120" s="1">
        <v>46065</v>
      </c>
      <c r="R120" s="1">
        <v>46065</v>
      </c>
      <c r="V120" s="2">
        <v>4495</v>
      </c>
      <c r="Z120" s="2">
        <v>4450</v>
      </c>
      <c r="AA120">
        <v>-45</v>
      </c>
      <c r="AC120">
        <v>0</v>
      </c>
      <c r="AE120">
        <v>-45</v>
      </c>
      <c r="AG120">
        <v>0</v>
      </c>
      <c r="AI120">
        <v>595</v>
      </c>
      <c r="AK120">
        <v>0</v>
      </c>
      <c r="AN120">
        <v>0</v>
      </c>
      <c r="AQ120" s="2">
        <v>5045</v>
      </c>
      <c r="AR120" s="8">
        <v>56</v>
      </c>
      <c r="AS120" s="8">
        <f>A120</f>
        <v>209</v>
      </c>
      <c r="AT120" s="8" t="s">
        <v>207</v>
      </c>
      <c r="AU120" s="8" t="s">
        <v>208</v>
      </c>
      <c r="AV120" s="8" t="s">
        <v>219</v>
      </c>
      <c r="AW120" s="9">
        <v>380</v>
      </c>
      <c r="AX120" s="8"/>
      <c r="AY120" s="10">
        <v>1</v>
      </c>
      <c r="AZ120" s="10">
        <v>1</v>
      </c>
      <c r="BA120" s="11">
        <v>46065</v>
      </c>
      <c r="BB120" s="12">
        <f>IFERROR(VALUE(V120),0)</f>
        <v>4495</v>
      </c>
      <c r="BC120" s="12">
        <f>IFERROR(VALUE(Z120),0)</f>
        <v>4450</v>
      </c>
      <c r="BD120" s="12">
        <f>IFERROR(VALUE(AI120),0)</f>
        <v>595</v>
      </c>
      <c r="BE120" s="12">
        <f>IFERROR(VALUE(AG120),0)</f>
        <v>0</v>
      </c>
      <c r="BF120" s="8" t="str">
        <f>IF(AS120="","",AV120&amp;" | "&amp;AT120&amp;" | "&amp;AW120)</f>
        <v>AL | Studio | 380</v>
      </c>
      <c r="BG120" s="8" t="s">
        <v>220</v>
      </c>
      <c r="BH120" s="8" t="s">
        <v>221</v>
      </c>
    </row>
    <row r="121" spans="1:60" ht="15" customHeight="1" x14ac:dyDescent="0.25">
      <c r="I121" t="s">
        <v>128</v>
      </c>
      <c r="AQ121" s="2">
        <v>5045</v>
      </c>
      <c r="AR121" s="8"/>
      <c r="AS121" s="8"/>
      <c r="AT121" s="8"/>
      <c r="AU121" s="8"/>
      <c r="AV121" s="8"/>
      <c r="AW121" s="9"/>
      <c r="AX121" s="8"/>
      <c r="AY121" s="10"/>
      <c r="AZ121" s="10"/>
      <c r="BA121" s="11"/>
      <c r="BB121" s="12"/>
      <c r="BC121" s="12"/>
      <c r="BD121" s="12"/>
      <c r="BE121" s="12"/>
      <c r="BF121" s="8"/>
      <c r="BG121" s="8"/>
      <c r="BH121" s="8"/>
    </row>
    <row r="122" spans="1:60" ht="15" customHeight="1" x14ac:dyDescent="0.25">
      <c r="A122">
        <v>210</v>
      </c>
      <c r="E122" t="s">
        <v>109</v>
      </c>
      <c r="I122" t="s">
        <v>129</v>
      </c>
      <c r="N122" s="1">
        <v>46134</v>
      </c>
      <c r="R122" s="1">
        <v>46134</v>
      </c>
      <c r="V122" s="2">
        <v>4495</v>
      </c>
      <c r="Z122" s="2">
        <v>4495</v>
      </c>
      <c r="AA122">
        <v>0</v>
      </c>
      <c r="AC122">
        <v>0</v>
      </c>
      <c r="AE122">
        <v>0</v>
      </c>
      <c r="AG122">
        <v>0</v>
      </c>
      <c r="AI122">
        <v>595</v>
      </c>
      <c r="AK122">
        <v>0</v>
      </c>
      <c r="AN122">
        <v>0</v>
      </c>
      <c r="AQ122" s="2">
        <v>5090</v>
      </c>
      <c r="AR122" s="8">
        <v>57</v>
      </c>
      <c r="AS122" s="8">
        <f>A122</f>
        <v>210</v>
      </c>
      <c r="AT122" s="8" t="s">
        <v>207</v>
      </c>
      <c r="AU122" s="8" t="s">
        <v>208</v>
      </c>
      <c r="AV122" s="8" t="s">
        <v>219</v>
      </c>
      <c r="AW122" s="9">
        <v>380</v>
      </c>
      <c r="AX122" s="8"/>
      <c r="AY122" s="10">
        <v>1</v>
      </c>
      <c r="AZ122" s="10">
        <v>1</v>
      </c>
      <c r="BA122" s="11">
        <v>46134</v>
      </c>
      <c r="BB122" s="12">
        <f>IFERROR(VALUE(V122),0)</f>
        <v>4495</v>
      </c>
      <c r="BC122" s="12">
        <f>IFERROR(VALUE(Z122),0)</f>
        <v>4495</v>
      </c>
      <c r="BD122" s="12">
        <f>IFERROR(VALUE(AI122),0)</f>
        <v>595</v>
      </c>
      <c r="BE122" s="12">
        <f>IFERROR(VALUE(AG122),0)</f>
        <v>0</v>
      </c>
      <c r="BF122" s="8" t="str">
        <f>IF(AS122="","",AV122&amp;" | "&amp;AT122&amp;" | "&amp;AW122)</f>
        <v>AL | Studio | 380</v>
      </c>
      <c r="BG122" s="8" t="s">
        <v>220</v>
      </c>
      <c r="BH122" s="8" t="s">
        <v>221</v>
      </c>
    </row>
    <row r="123" spans="1:60" ht="15" customHeight="1" x14ac:dyDescent="0.25">
      <c r="I123" t="s">
        <v>130</v>
      </c>
      <c r="AQ123" s="2">
        <v>5090</v>
      </c>
      <c r="AR123" s="8"/>
      <c r="AS123" s="8"/>
      <c r="AT123" s="8"/>
      <c r="AU123" s="8"/>
      <c r="AV123" s="8"/>
      <c r="AW123" s="9"/>
      <c r="AX123" s="8"/>
      <c r="AY123" s="10"/>
      <c r="AZ123" s="10"/>
      <c r="BA123" s="11"/>
      <c r="BB123" s="12"/>
      <c r="BC123" s="12"/>
      <c r="BD123" s="12"/>
      <c r="BE123" s="12"/>
      <c r="BF123" s="8"/>
      <c r="BG123" s="8"/>
      <c r="BH123" s="8"/>
    </row>
    <row r="124" spans="1:60" ht="15" customHeight="1" x14ac:dyDescent="0.25">
      <c r="A124">
        <v>211</v>
      </c>
      <c r="E124" t="s">
        <v>109</v>
      </c>
      <c r="I124" t="s">
        <v>131</v>
      </c>
      <c r="N124" s="1">
        <v>43931</v>
      </c>
      <c r="R124" s="1">
        <v>43931</v>
      </c>
      <c r="V124" s="2">
        <v>4495</v>
      </c>
      <c r="Z124" s="2">
        <v>4180</v>
      </c>
      <c r="AA124">
        <v>-315</v>
      </c>
      <c r="AC124">
        <v>0</v>
      </c>
      <c r="AE124">
        <v>-315</v>
      </c>
      <c r="AG124">
        <v>0</v>
      </c>
      <c r="AI124">
        <v>595</v>
      </c>
      <c r="AK124">
        <v>0</v>
      </c>
      <c r="AN124">
        <v>0</v>
      </c>
      <c r="AQ124" s="2">
        <v>4775</v>
      </c>
      <c r="AR124" s="8">
        <v>58</v>
      </c>
      <c r="AS124" s="8">
        <f>A124</f>
        <v>211</v>
      </c>
      <c r="AT124" s="8" t="s">
        <v>207</v>
      </c>
      <c r="AU124" s="8" t="s">
        <v>208</v>
      </c>
      <c r="AV124" s="8" t="s">
        <v>219</v>
      </c>
      <c r="AW124" s="9">
        <v>380</v>
      </c>
      <c r="AX124" s="8"/>
      <c r="AY124" s="10">
        <v>1</v>
      </c>
      <c r="AZ124" s="10">
        <v>1</v>
      </c>
      <c r="BA124" s="11">
        <v>43931</v>
      </c>
      <c r="BB124" s="12">
        <f>IFERROR(VALUE(V124),0)</f>
        <v>4495</v>
      </c>
      <c r="BC124" s="12">
        <f>IFERROR(VALUE(Z124),0)</f>
        <v>4180</v>
      </c>
      <c r="BD124" s="12">
        <f>IFERROR(VALUE(AI124),0)</f>
        <v>595</v>
      </c>
      <c r="BE124" s="12">
        <f>IFERROR(VALUE(AG124),0)</f>
        <v>0</v>
      </c>
      <c r="BF124" s="8" t="str">
        <f>IF(AS124="","",AV124&amp;" | "&amp;AT124&amp;" | "&amp;AW124)</f>
        <v>AL | Studio | 380</v>
      </c>
      <c r="BG124" s="8" t="s">
        <v>220</v>
      </c>
      <c r="BH124" s="8" t="s">
        <v>221</v>
      </c>
    </row>
    <row r="125" spans="1:60" ht="15" customHeight="1" x14ac:dyDescent="0.25">
      <c r="I125" t="s">
        <v>132</v>
      </c>
      <c r="AQ125" s="2">
        <v>4775</v>
      </c>
      <c r="AR125" s="8"/>
      <c r="AS125" s="8"/>
      <c r="AT125" s="8"/>
      <c r="AU125" s="8"/>
      <c r="AV125" s="8"/>
      <c r="AW125" s="9"/>
      <c r="AX125" s="8"/>
      <c r="AY125" s="10"/>
      <c r="AZ125" s="10"/>
      <c r="BA125" s="11"/>
      <c r="BB125" s="12"/>
      <c r="BC125" s="12"/>
      <c r="BD125" s="12"/>
      <c r="BE125" s="12"/>
      <c r="BF125" s="8"/>
      <c r="BG125" s="8"/>
      <c r="BH125" s="8"/>
    </row>
    <row r="126" spans="1:60" ht="15" customHeight="1" x14ac:dyDescent="0.25">
      <c r="A126">
        <v>212</v>
      </c>
      <c r="E126" t="s">
        <v>109</v>
      </c>
      <c r="I126" t="s">
        <v>133</v>
      </c>
      <c r="N126" s="1">
        <v>44523</v>
      </c>
      <c r="R126" s="1">
        <v>44523</v>
      </c>
      <c r="V126" s="2">
        <v>4495</v>
      </c>
      <c r="Z126" s="2">
        <v>4225</v>
      </c>
      <c r="AA126">
        <v>-270</v>
      </c>
      <c r="AC126">
        <v>0</v>
      </c>
      <c r="AE126">
        <v>-270</v>
      </c>
      <c r="AG126">
        <v>0</v>
      </c>
      <c r="AI126">
        <v>595</v>
      </c>
      <c r="AK126">
        <v>0</v>
      </c>
      <c r="AN126">
        <v>0</v>
      </c>
      <c r="AQ126" s="2">
        <v>4820</v>
      </c>
      <c r="AR126" s="8">
        <v>59</v>
      </c>
      <c r="AS126" s="8">
        <f>A126</f>
        <v>212</v>
      </c>
      <c r="AT126" s="8" t="s">
        <v>207</v>
      </c>
      <c r="AU126" s="8" t="s">
        <v>208</v>
      </c>
      <c r="AV126" s="8" t="s">
        <v>219</v>
      </c>
      <c r="AW126" s="9">
        <v>380</v>
      </c>
      <c r="AX126" s="8"/>
      <c r="AY126" s="10">
        <v>1</v>
      </c>
      <c r="AZ126" s="10">
        <v>1</v>
      </c>
      <c r="BA126" s="11">
        <v>44523</v>
      </c>
      <c r="BB126" s="12">
        <f>IFERROR(VALUE(V126),0)</f>
        <v>4495</v>
      </c>
      <c r="BC126" s="12">
        <f>IFERROR(VALUE(Z126),0)</f>
        <v>4225</v>
      </c>
      <c r="BD126" s="12">
        <f>IFERROR(VALUE(AI126),0)</f>
        <v>595</v>
      </c>
      <c r="BE126" s="12">
        <f>IFERROR(VALUE(AG126),0)</f>
        <v>0</v>
      </c>
      <c r="BF126" s="8" t="str">
        <f>IF(AS126="","",AV126&amp;" | "&amp;AT126&amp;" | "&amp;AW126)</f>
        <v>AL | Studio | 380</v>
      </c>
      <c r="BG126" s="8" t="s">
        <v>220</v>
      </c>
      <c r="BH126" s="8" t="s">
        <v>221</v>
      </c>
    </row>
    <row r="127" spans="1:60" ht="15" customHeight="1" x14ac:dyDescent="0.25">
      <c r="I127" t="s">
        <v>134</v>
      </c>
      <c r="AQ127" s="2">
        <v>4820</v>
      </c>
      <c r="AR127" s="8"/>
      <c r="AS127" s="8"/>
      <c r="AT127" s="8"/>
      <c r="AU127" s="8"/>
      <c r="AV127" s="8"/>
      <c r="AW127" s="9"/>
      <c r="AX127" s="8"/>
      <c r="AY127" s="10"/>
      <c r="AZ127" s="10"/>
      <c r="BA127" s="11"/>
      <c r="BB127" s="12"/>
      <c r="BC127" s="12"/>
      <c r="BD127" s="12"/>
      <c r="BE127" s="12"/>
      <c r="BF127" s="8"/>
      <c r="BG127" s="8"/>
      <c r="BH127" s="8"/>
    </row>
    <row r="128" spans="1:60" ht="15" customHeight="1" x14ac:dyDescent="0.25">
      <c r="A128">
        <v>213</v>
      </c>
      <c r="E128" t="s">
        <v>109</v>
      </c>
      <c r="I128" t="s">
        <v>135</v>
      </c>
      <c r="N128" s="1">
        <v>44721</v>
      </c>
      <c r="R128" s="1">
        <v>44721</v>
      </c>
      <c r="V128" s="2">
        <v>4495</v>
      </c>
      <c r="Z128" s="2">
        <v>4270</v>
      </c>
      <c r="AA128">
        <v>-225</v>
      </c>
      <c r="AC128">
        <v>0</v>
      </c>
      <c r="AE128">
        <v>-225</v>
      </c>
      <c r="AG128">
        <v>0</v>
      </c>
      <c r="AI128">
        <v>595</v>
      </c>
      <c r="AK128">
        <v>0</v>
      </c>
      <c r="AN128">
        <v>0</v>
      </c>
      <c r="AQ128" s="2">
        <v>4865</v>
      </c>
      <c r="AR128" s="8">
        <v>60</v>
      </c>
      <c r="AS128" s="8">
        <f>A128</f>
        <v>213</v>
      </c>
      <c r="AT128" s="8" t="s">
        <v>207</v>
      </c>
      <c r="AU128" s="8" t="s">
        <v>208</v>
      </c>
      <c r="AV128" s="8" t="s">
        <v>219</v>
      </c>
      <c r="AW128" s="9">
        <v>380</v>
      </c>
      <c r="AX128" s="8"/>
      <c r="AY128" s="10">
        <v>1</v>
      </c>
      <c r="AZ128" s="10">
        <v>1</v>
      </c>
      <c r="BA128" s="11">
        <v>44721</v>
      </c>
      <c r="BB128" s="12">
        <f>IFERROR(VALUE(V128),0)</f>
        <v>4495</v>
      </c>
      <c r="BC128" s="12">
        <f>IFERROR(VALUE(Z128),0)</f>
        <v>4270</v>
      </c>
      <c r="BD128" s="12">
        <f>IFERROR(VALUE(AI128),0)</f>
        <v>595</v>
      </c>
      <c r="BE128" s="12">
        <f>IFERROR(VALUE(AG128),0)</f>
        <v>0</v>
      </c>
      <c r="BF128" s="8" t="str">
        <f>IF(AS128="","",AV128&amp;" | "&amp;AT128&amp;" | "&amp;AW128)</f>
        <v>AL | Studio | 380</v>
      </c>
      <c r="BG128" s="8" t="s">
        <v>220</v>
      </c>
      <c r="BH128" s="8" t="s">
        <v>221</v>
      </c>
    </row>
    <row r="129" spans="1:60" ht="15" customHeight="1" x14ac:dyDescent="0.25">
      <c r="I129" t="s">
        <v>136</v>
      </c>
      <c r="AQ129" s="2">
        <v>4865</v>
      </c>
      <c r="AR129" s="8"/>
      <c r="AS129" s="8"/>
      <c r="AT129" s="8"/>
      <c r="AU129" s="8"/>
      <c r="AV129" s="8"/>
      <c r="AW129" s="9"/>
      <c r="AX129" s="8"/>
      <c r="AY129" s="10"/>
      <c r="AZ129" s="10"/>
      <c r="BA129" s="11"/>
      <c r="BB129" s="12"/>
      <c r="BC129" s="12"/>
      <c r="BD129" s="12"/>
      <c r="BE129" s="12"/>
      <c r="BF129" s="8"/>
      <c r="BG129" s="8"/>
      <c r="BH129" s="8"/>
    </row>
    <row r="130" spans="1:60" ht="15" customHeight="1" x14ac:dyDescent="0.25">
      <c r="A130">
        <v>214</v>
      </c>
      <c r="E130" t="s">
        <v>109</v>
      </c>
      <c r="I130" t="s">
        <v>137</v>
      </c>
      <c r="N130" s="1">
        <v>44948</v>
      </c>
      <c r="R130" s="1">
        <v>44948</v>
      </c>
      <c r="V130" s="2">
        <v>4495</v>
      </c>
      <c r="Z130" s="2">
        <v>4315</v>
      </c>
      <c r="AA130">
        <v>-180</v>
      </c>
      <c r="AC130">
        <v>0</v>
      </c>
      <c r="AE130">
        <v>-180</v>
      </c>
      <c r="AG130">
        <v>0</v>
      </c>
      <c r="AI130" s="2">
        <v>1095</v>
      </c>
      <c r="AK130">
        <v>0</v>
      </c>
      <c r="AN130">
        <v>0</v>
      </c>
      <c r="AQ130" s="2">
        <v>5410</v>
      </c>
      <c r="AR130" s="8">
        <v>61</v>
      </c>
      <c r="AS130" s="8">
        <f>A130</f>
        <v>214</v>
      </c>
      <c r="AT130" s="8" t="s">
        <v>207</v>
      </c>
      <c r="AU130" s="8" t="s">
        <v>208</v>
      </c>
      <c r="AV130" s="8" t="s">
        <v>219</v>
      </c>
      <c r="AW130" s="9">
        <v>380</v>
      </c>
      <c r="AX130" s="8"/>
      <c r="AY130" s="10">
        <v>1</v>
      </c>
      <c r="AZ130" s="10">
        <v>1</v>
      </c>
      <c r="BA130" s="11">
        <v>44948</v>
      </c>
      <c r="BB130" s="12">
        <f>IFERROR(VALUE(V130),0)</f>
        <v>4495</v>
      </c>
      <c r="BC130" s="12">
        <f>IFERROR(VALUE(Z130),0)</f>
        <v>4315</v>
      </c>
      <c r="BD130" s="12">
        <f>IFERROR(VALUE(AI130),0)</f>
        <v>1095</v>
      </c>
      <c r="BE130" s="12">
        <f>IFERROR(VALUE(AG130),0)</f>
        <v>0</v>
      </c>
      <c r="BF130" s="8" t="str">
        <f>IF(AS130="","",AV130&amp;" | "&amp;AT130&amp;" | "&amp;AW130)</f>
        <v>AL | Studio | 380</v>
      </c>
      <c r="BG130" s="8" t="s">
        <v>220</v>
      </c>
      <c r="BH130" s="8" t="s">
        <v>221</v>
      </c>
    </row>
    <row r="131" spans="1:60" ht="15" customHeight="1" x14ac:dyDescent="0.25">
      <c r="I131" t="s">
        <v>138</v>
      </c>
      <c r="AQ131" s="2">
        <v>5410</v>
      </c>
      <c r="AR131" s="8"/>
      <c r="AS131" s="8"/>
      <c r="AT131" s="8"/>
      <c r="AU131" s="8"/>
      <c r="AV131" s="8"/>
      <c r="AW131" s="9"/>
      <c r="AX131" s="8"/>
      <c r="AY131" s="10"/>
      <c r="AZ131" s="10"/>
      <c r="BA131" s="11"/>
      <c r="BB131" s="12"/>
      <c r="BC131" s="12"/>
      <c r="BD131" s="12"/>
      <c r="BE131" s="12"/>
      <c r="BF131" s="8"/>
      <c r="BG131" s="8"/>
      <c r="BH131" s="8"/>
    </row>
    <row r="132" spans="1:60" ht="15" customHeight="1" x14ac:dyDescent="0.25">
      <c r="A132">
        <v>215</v>
      </c>
      <c r="E132" t="s">
        <v>109</v>
      </c>
      <c r="I132" t="s">
        <v>139</v>
      </c>
      <c r="N132" s="1">
        <v>45512</v>
      </c>
      <c r="R132" s="1">
        <v>45512</v>
      </c>
      <c r="V132" s="2">
        <v>4495</v>
      </c>
      <c r="Z132" s="2">
        <v>4360</v>
      </c>
      <c r="AA132">
        <v>-135</v>
      </c>
      <c r="AC132">
        <v>0</v>
      </c>
      <c r="AE132">
        <v>-135</v>
      </c>
      <c r="AG132">
        <v>0</v>
      </c>
      <c r="AI132" s="2">
        <v>1095</v>
      </c>
      <c r="AK132">
        <v>0</v>
      </c>
      <c r="AN132">
        <v>0</v>
      </c>
      <c r="AQ132" s="2">
        <v>5455</v>
      </c>
      <c r="AR132" s="8">
        <v>62</v>
      </c>
      <c r="AS132" s="8">
        <f>A132</f>
        <v>215</v>
      </c>
      <c r="AT132" s="8" t="s">
        <v>207</v>
      </c>
      <c r="AU132" s="8" t="s">
        <v>208</v>
      </c>
      <c r="AV132" s="8" t="s">
        <v>219</v>
      </c>
      <c r="AW132" s="9">
        <v>380</v>
      </c>
      <c r="AX132" s="8"/>
      <c r="AY132" s="10">
        <v>1</v>
      </c>
      <c r="AZ132" s="10">
        <v>1</v>
      </c>
      <c r="BA132" s="11">
        <v>45512</v>
      </c>
      <c r="BB132" s="12">
        <f>IFERROR(VALUE(V132),0)</f>
        <v>4495</v>
      </c>
      <c r="BC132" s="12">
        <f>IFERROR(VALUE(Z132),0)</f>
        <v>4360</v>
      </c>
      <c r="BD132" s="12">
        <f>IFERROR(VALUE(AI132),0)</f>
        <v>1095</v>
      </c>
      <c r="BE132" s="12">
        <f>IFERROR(VALUE(AG132),0)</f>
        <v>0</v>
      </c>
      <c r="BF132" s="8" t="str">
        <f>IF(AS132="","",AV132&amp;" | "&amp;AT132&amp;" | "&amp;AW132)</f>
        <v>AL | Studio | 380</v>
      </c>
      <c r="BG132" s="8" t="s">
        <v>220</v>
      </c>
      <c r="BH132" s="8" t="s">
        <v>221</v>
      </c>
    </row>
    <row r="133" spans="1:60" ht="15" customHeight="1" x14ac:dyDescent="0.25">
      <c r="I133" t="s">
        <v>140</v>
      </c>
      <c r="AQ133" s="2">
        <v>5455</v>
      </c>
      <c r="AR133" s="8"/>
      <c r="AS133" s="8"/>
      <c r="AT133" s="8"/>
      <c r="AU133" s="8"/>
      <c r="AV133" s="8"/>
      <c r="AW133" s="9"/>
      <c r="AX133" s="8"/>
      <c r="AY133" s="10"/>
      <c r="AZ133" s="10"/>
      <c r="BA133" s="11"/>
      <c r="BB133" s="12"/>
      <c r="BC133" s="12"/>
      <c r="BD133" s="12"/>
      <c r="BE133" s="12"/>
      <c r="BF133" s="8"/>
      <c r="BG133" s="8"/>
      <c r="BH133" s="8"/>
    </row>
    <row r="134" spans="1:60" ht="15" customHeight="1" x14ac:dyDescent="0.25">
      <c r="A134">
        <v>216</v>
      </c>
      <c r="E134" t="s">
        <v>109</v>
      </c>
      <c r="I134" t="s">
        <v>141</v>
      </c>
      <c r="N134" s="1">
        <v>45737</v>
      </c>
      <c r="R134" s="1">
        <v>45737</v>
      </c>
      <c r="V134" s="2">
        <v>4495</v>
      </c>
      <c r="Z134" s="2">
        <v>4405</v>
      </c>
      <c r="AA134">
        <v>-90</v>
      </c>
      <c r="AC134">
        <v>0</v>
      </c>
      <c r="AE134">
        <v>-90</v>
      </c>
      <c r="AG134">
        <v>0</v>
      </c>
      <c r="AI134" s="2">
        <v>1095</v>
      </c>
      <c r="AK134">
        <v>0</v>
      </c>
      <c r="AN134">
        <v>0</v>
      </c>
      <c r="AQ134" s="2">
        <v>5500</v>
      </c>
      <c r="AR134" s="8">
        <v>63</v>
      </c>
      <c r="AS134" s="8">
        <f>A134</f>
        <v>216</v>
      </c>
      <c r="AT134" s="8" t="s">
        <v>207</v>
      </c>
      <c r="AU134" s="8" t="s">
        <v>208</v>
      </c>
      <c r="AV134" s="8" t="s">
        <v>219</v>
      </c>
      <c r="AW134" s="9">
        <v>380</v>
      </c>
      <c r="AX134" s="8"/>
      <c r="AY134" s="10">
        <v>1</v>
      </c>
      <c r="AZ134" s="10">
        <v>1</v>
      </c>
      <c r="BA134" s="11">
        <v>45737</v>
      </c>
      <c r="BB134" s="12">
        <f>IFERROR(VALUE(V134),0)</f>
        <v>4495</v>
      </c>
      <c r="BC134" s="12">
        <f>IFERROR(VALUE(Z134),0)</f>
        <v>4405</v>
      </c>
      <c r="BD134" s="12">
        <f>IFERROR(VALUE(AI134),0)</f>
        <v>1095</v>
      </c>
      <c r="BE134" s="12">
        <f>IFERROR(VALUE(AG134),0)</f>
        <v>0</v>
      </c>
      <c r="BF134" s="8" t="str">
        <f>IF(AS134="","",AV134&amp;" | "&amp;AT134&amp;" | "&amp;AW134)</f>
        <v>AL | Studio | 380</v>
      </c>
      <c r="BG134" s="8" t="s">
        <v>220</v>
      </c>
      <c r="BH134" s="8" t="s">
        <v>221</v>
      </c>
    </row>
    <row r="135" spans="1:60" ht="15" customHeight="1" x14ac:dyDescent="0.25">
      <c r="I135" t="s">
        <v>142</v>
      </c>
      <c r="AQ135" s="2">
        <v>5500</v>
      </c>
      <c r="AR135" s="8"/>
      <c r="AS135" s="8"/>
      <c r="AT135" s="8"/>
      <c r="AU135" s="8"/>
      <c r="AV135" s="8"/>
      <c r="AW135" s="9"/>
      <c r="AX135" s="8"/>
      <c r="AY135" s="10"/>
      <c r="AZ135" s="10"/>
      <c r="BA135" s="11"/>
      <c r="BB135" s="12"/>
      <c r="BC135" s="12"/>
      <c r="BD135" s="12"/>
      <c r="BE135" s="12"/>
      <c r="BF135" s="8"/>
      <c r="BG135" s="8"/>
      <c r="BH135" s="8"/>
    </row>
    <row r="136" spans="1:60" ht="15" customHeight="1" x14ac:dyDescent="0.25">
      <c r="A136">
        <v>217</v>
      </c>
      <c r="E136" t="s">
        <v>109</v>
      </c>
      <c r="I136" t="s">
        <v>143</v>
      </c>
      <c r="N136" s="1">
        <v>46035</v>
      </c>
      <c r="R136" s="1">
        <v>46035</v>
      </c>
      <c r="V136" s="2">
        <v>4495</v>
      </c>
      <c r="Z136" s="2">
        <v>4450</v>
      </c>
      <c r="AA136">
        <v>-45</v>
      </c>
      <c r="AC136">
        <v>0</v>
      </c>
      <c r="AE136">
        <v>-45</v>
      </c>
      <c r="AG136">
        <v>0</v>
      </c>
      <c r="AI136" s="2">
        <v>1095</v>
      </c>
      <c r="AK136">
        <v>0</v>
      </c>
      <c r="AN136">
        <v>0</v>
      </c>
      <c r="AQ136" s="2">
        <v>5545</v>
      </c>
      <c r="AR136" s="8">
        <v>64</v>
      </c>
      <c r="AS136" s="8">
        <f>A136</f>
        <v>217</v>
      </c>
      <c r="AT136" s="8" t="s">
        <v>207</v>
      </c>
      <c r="AU136" s="8" t="s">
        <v>208</v>
      </c>
      <c r="AV136" s="8" t="s">
        <v>219</v>
      </c>
      <c r="AW136" s="9">
        <v>380</v>
      </c>
      <c r="AX136" s="8"/>
      <c r="AY136" s="10">
        <v>1</v>
      </c>
      <c r="AZ136" s="10">
        <v>1</v>
      </c>
      <c r="BA136" s="11">
        <v>46035</v>
      </c>
      <c r="BB136" s="12">
        <f>IFERROR(VALUE(V136),0)</f>
        <v>4495</v>
      </c>
      <c r="BC136" s="12">
        <f>IFERROR(VALUE(Z136),0)</f>
        <v>4450</v>
      </c>
      <c r="BD136" s="12">
        <f>IFERROR(VALUE(AI136),0)</f>
        <v>1095</v>
      </c>
      <c r="BE136" s="12">
        <f>IFERROR(VALUE(AG136),0)</f>
        <v>0</v>
      </c>
      <c r="BF136" s="8" t="str">
        <f>IF(AS136="","",AV136&amp;" | "&amp;AT136&amp;" | "&amp;AW136)</f>
        <v>AL | Studio | 380</v>
      </c>
      <c r="BG136" s="8" t="s">
        <v>220</v>
      </c>
      <c r="BH136" s="8" t="s">
        <v>221</v>
      </c>
    </row>
    <row r="137" spans="1:60" ht="15" customHeight="1" x14ac:dyDescent="0.25">
      <c r="I137" t="s">
        <v>144</v>
      </c>
      <c r="AQ137" s="2">
        <v>5545</v>
      </c>
      <c r="AR137" s="8"/>
      <c r="AS137" s="8"/>
      <c r="AT137" s="8"/>
      <c r="AU137" s="8"/>
      <c r="AV137" s="8"/>
      <c r="AW137" s="9"/>
      <c r="AX137" s="8"/>
      <c r="AY137" s="10"/>
      <c r="AZ137" s="10"/>
      <c r="BA137" s="11"/>
      <c r="BB137" s="12"/>
      <c r="BC137" s="12"/>
      <c r="BD137" s="12"/>
      <c r="BE137" s="12"/>
      <c r="BF137" s="8"/>
      <c r="BG137" s="8"/>
      <c r="BH137" s="8"/>
    </row>
    <row r="138" spans="1:60" ht="15" customHeight="1" x14ac:dyDescent="0.25">
      <c r="A138">
        <v>218</v>
      </c>
      <c r="E138" t="s">
        <v>109</v>
      </c>
      <c r="I138" t="s">
        <v>145</v>
      </c>
      <c r="N138" s="1">
        <v>43605</v>
      </c>
      <c r="R138" s="1">
        <v>43605</v>
      </c>
      <c r="V138" s="2">
        <v>4495</v>
      </c>
      <c r="Z138" s="2">
        <v>4135</v>
      </c>
      <c r="AA138">
        <v>-360</v>
      </c>
      <c r="AC138">
        <v>0</v>
      </c>
      <c r="AE138">
        <v>-360</v>
      </c>
      <c r="AG138">
        <v>0</v>
      </c>
      <c r="AI138" s="2">
        <v>1095</v>
      </c>
      <c r="AK138">
        <v>0</v>
      </c>
      <c r="AN138">
        <v>0</v>
      </c>
      <c r="AQ138" s="2">
        <v>5230</v>
      </c>
      <c r="AR138" s="8">
        <v>65</v>
      </c>
      <c r="AS138" s="8">
        <f>A138</f>
        <v>218</v>
      </c>
      <c r="AT138" s="8" t="s">
        <v>207</v>
      </c>
      <c r="AU138" s="8" t="s">
        <v>208</v>
      </c>
      <c r="AV138" s="8" t="s">
        <v>219</v>
      </c>
      <c r="AW138" s="9">
        <v>380</v>
      </c>
      <c r="AX138" s="8"/>
      <c r="AY138" s="10">
        <v>1</v>
      </c>
      <c r="AZ138" s="10">
        <v>1</v>
      </c>
      <c r="BA138" s="11">
        <v>43605</v>
      </c>
      <c r="BB138" s="12">
        <f>IFERROR(VALUE(V138),0)</f>
        <v>4495</v>
      </c>
      <c r="BC138" s="12">
        <f>IFERROR(VALUE(Z138),0)</f>
        <v>4135</v>
      </c>
      <c r="BD138" s="12">
        <f>IFERROR(VALUE(AI138),0)</f>
        <v>1095</v>
      </c>
      <c r="BE138" s="12">
        <f>IFERROR(VALUE(AG138),0)</f>
        <v>0</v>
      </c>
      <c r="BF138" s="8" t="str">
        <f>IF(AS138="","",AV138&amp;" | "&amp;AT138&amp;" | "&amp;AW138)</f>
        <v>AL | Studio | 380</v>
      </c>
      <c r="BG138" s="8" t="s">
        <v>220</v>
      </c>
      <c r="BH138" s="8" t="s">
        <v>221</v>
      </c>
    </row>
    <row r="139" spans="1:60" ht="15" customHeight="1" x14ac:dyDescent="0.25">
      <c r="I139" t="s">
        <v>146</v>
      </c>
      <c r="AQ139" s="2">
        <v>5230</v>
      </c>
      <c r="AR139" s="8"/>
      <c r="AS139" s="8"/>
      <c r="AT139" s="8"/>
      <c r="AU139" s="8"/>
      <c r="AV139" s="8"/>
      <c r="AW139" s="9"/>
      <c r="AX139" s="8"/>
      <c r="AY139" s="10"/>
      <c r="AZ139" s="10"/>
      <c r="BA139" s="11"/>
      <c r="BB139" s="12"/>
      <c r="BC139" s="12"/>
      <c r="BD139" s="12"/>
      <c r="BE139" s="12"/>
      <c r="BF139" s="8"/>
      <c r="BG139" s="8"/>
      <c r="BH139" s="8"/>
    </row>
    <row r="140" spans="1:60" ht="15" customHeight="1" x14ac:dyDescent="0.25">
      <c r="A140">
        <v>219</v>
      </c>
      <c r="E140" t="s">
        <v>147</v>
      </c>
      <c r="I140" t="s">
        <v>148</v>
      </c>
      <c r="N140" s="1">
        <v>44171</v>
      </c>
      <c r="R140" s="1">
        <v>44171</v>
      </c>
      <c r="V140" s="2">
        <v>5295</v>
      </c>
      <c r="Z140" s="2">
        <v>4925</v>
      </c>
      <c r="AA140">
        <v>-370</v>
      </c>
      <c r="AC140">
        <v>0</v>
      </c>
      <c r="AE140">
        <v>-370</v>
      </c>
      <c r="AG140">
        <v>0</v>
      </c>
      <c r="AI140" s="2">
        <v>1095</v>
      </c>
      <c r="AK140">
        <v>0</v>
      </c>
      <c r="AN140">
        <v>0</v>
      </c>
      <c r="AQ140" s="2">
        <v>6020</v>
      </c>
      <c r="AR140" s="8">
        <v>66</v>
      </c>
      <c r="AS140" s="8">
        <f>A140</f>
        <v>219</v>
      </c>
      <c r="AT140" s="8" t="s">
        <v>213</v>
      </c>
      <c r="AU140" s="8" t="s">
        <v>208</v>
      </c>
      <c r="AV140" s="8" t="s">
        <v>219</v>
      </c>
      <c r="AW140" s="9">
        <v>540</v>
      </c>
      <c r="AX140" s="8"/>
      <c r="AY140" s="10">
        <v>1</v>
      </c>
      <c r="AZ140" s="10">
        <v>1</v>
      </c>
      <c r="BA140" s="11">
        <v>44171</v>
      </c>
      <c r="BB140" s="12">
        <f>IFERROR(VALUE(V140),0)</f>
        <v>5295</v>
      </c>
      <c r="BC140" s="12">
        <f>IFERROR(VALUE(Z140),0)</f>
        <v>4925</v>
      </c>
      <c r="BD140" s="12">
        <f>IFERROR(VALUE(AI140),0)</f>
        <v>1095</v>
      </c>
      <c r="BE140" s="12">
        <f>IFERROR(VALUE(AG140),0)</f>
        <v>0</v>
      </c>
      <c r="BF140" s="8" t="str">
        <f>IF(AS140="","",AV140&amp;" | "&amp;AT140&amp;" | "&amp;AW140)</f>
        <v>AL | One Bedroom | 540</v>
      </c>
      <c r="BG140" s="8" t="s">
        <v>222</v>
      </c>
      <c r="BH140" s="8" t="s">
        <v>223</v>
      </c>
    </row>
    <row r="141" spans="1:60" ht="15" customHeight="1" x14ac:dyDescent="0.25">
      <c r="I141" t="s">
        <v>149</v>
      </c>
      <c r="AQ141" s="2">
        <v>6020</v>
      </c>
      <c r="AR141" s="8"/>
      <c r="AS141" s="8"/>
      <c r="AT141" s="8"/>
      <c r="AU141" s="8"/>
      <c r="AV141" s="8"/>
      <c r="AW141" s="9"/>
      <c r="AX141" s="8"/>
      <c r="AY141" s="10"/>
      <c r="AZ141" s="10"/>
      <c r="BA141" s="11"/>
      <c r="BB141" s="12"/>
      <c r="BC141" s="12"/>
      <c r="BD141" s="12"/>
      <c r="BE141" s="12"/>
      <c r="BF141" s="8"/>
      <c r="BG141" s="8"/>
      <c r="BH141" s="8"/>
    </row>
    <row r="142" spans="1:60" ht="15" customHeight="1" x14ac:dyDescent="0.25">
      <c r="A142">
        <v>220</v>
      </c>
      <c r="E142" t="s">
        <v>147</v>
      </c>
      <c r="I142" t="s">
        <v>150</v>
      </c>
      <c r="N142" s="1">
        <v>44396</v>
      </c>
      <c r="R142" s="1">
        <v>44396</v>
      </c>
      <c r="V142" s="2">
        <v>5295</v>
      </c>
      <c r="Z142" s="2">
        <v>4975</v>
      </c>
      <c r="AA142">
        <v>-320</v>
      </c>
      <c r="AC142">
        <v>0</v>
      </c>
      <c r="AE142">
        <v>-320</v>
      </c>
      <c r="AG142">
        <v>0</v>
      </c>
      <c r="AI142" s="2">
        <v>1095</v>
      </c>
      <c r="AK142">
        <v>0</v>
      </c>
      <c r="AN142">
        <v>0</v>
      </c>
      <c r="AQ142" s="2">
        <v>6070</v>
      </c>
      <c r="AR142" s="8">
        <v>67</v>
      </c>
      <c r="AS142" s="8">
        <f>A142</f>
        <v>220</v>
      </c>
      <c r="AT142" s="8" t="s">
        <v>213</v>
      </c>
      <c r="AU142" s="8" t="s">
        <v>208</v>
      </c>
      <c r="AV142" s="8" t="s">
        <v>219</v>
      </c>
      <c r="AW142" s="9">
        <v>540</v>
      </c>
      <c r="AX142" s="8"/>
      <c r="AY142" s="10">
        <v>1</v>
      </c>
      <c r="AZ142" s="10">
        <v>1</v>
      </c>
      <c r="BA142" s="11">
        <v>44396</v>
      </c>
      <c r="BB142" s="12">
        <f>IFERROR(VALUE(V142),0)</f>
        <v>5295</v>
      </c>
      <c r="BC142" s="12">
        <f>IFERROR(VALUE(Z142),0)</f>
        <v>4975</v>
      </c>
      <c r="BD142" s="12">
        <f>IFERROR(VALUE(AI142),0)</f>
        <v>1095</v>
      </c>
      <c r="BE142" s="12">
        <f>IFERROR(VALUE(AG142),0)</f>
        <v>0</v>
      </c>
      <c r="BF142" s="8" t="str">
        <f>IF(AS142="","",AV142&amp;" | "&amp;AT142&amp;" | "&amp;AW142)</f>
        <v>AL | One Bedroom | 540</v>
      </c>
      <c r="BG142" s="8" t="s">
        <v>222</v>
      </c>
      <c r="BH142" s="8" t="s">
        <v>223</v>
      </c>
    </row>
    <row r="143" spans="1:60" ht="15" customHeight="1" x14ac:dyDescent="0.25">
      <c r="I143" t="s">
        <v>151</v>
      </c>
      <c r="AQ143" s="2">
        <v>6070</v>
      </c>
      <c r="AR143" s="8"/>
      <c r="AS143" s="8"/>
      <c r="AT143" s="8"/>
      <c r="AU143" s="8"/>
      <c r="AV143" s="8"/>
      <c r="AW143" s="9"/>
      <c r="AX143" s="8"/>
      <c r="AY143" s="10"/>
      <c r="AZ143" s="10"/>
      <c r="BA143" s="11"/>
      <c r="BB143" s="12"/>
      <c r="BC143" s="12"/>
      <c r="BD143" s="12"/>
      <c r="BE143" s="12"/>
      <c r="BF143" s="8"/>
      <c r="BG143" s="8"/>
      <c r="BH143" s="8"/>
    </row>
    <row r="144" spans="1:60" ht="15" customHeight="1" x14ac:dyDescent="0.25">
      <c r="A144">
        <v>221</v>
      </c>
      <c r="E144" t="s">
        <v>147</v>
      </c>
      <c r="I144" t="s">
        <v>152</v>
      </c>
      <c r="N144" s="1">
        <v>44597</v>
      </c>
      <c r="R144" s="1">
        <v>44597</v>
      </c>
      <c r="V144" s="2">
        <v>5295</v>
      </c>
      <c r="Z144" s="2">
        <v>5030</v>
      </c>
      <c r="AA144">
        <v>-265</v>
      </c>
      <c r="AC144">
        <v>0</v>
      </c>
      <c r="AE144">
        <v>-265</v>
      </c>
      <c r="AG144">
        <v>0</v>
      </c>
      <c r="AI144" s="2">
        <v>1095</v>
      </c>
      <c r="AK144">
        <v>0</v>
      </c>
      <c r="AN144">
        <v>0</v>
      </c>
      <c r="AQ144" s="2">
        <v>6125</v>
      </c>
      <c r="AR144" s="8">
        <v>68</v>
      </c>
      <c r="AS144" s="8">
        <f>A144</f>
        <v>221</v>
      </c>
      <c r="AT144" s="8" t="s">
        <v>213</v>
      </c>
      <c r="AU144" s="8" t="s">
        <v>208</v>
      </c>
      <c r="AV144" s="8" t="s">
        <v>219</v>
      </c>
      <c r="AW144" s="9">
        <v>540</v>
      </c>
      <c r="AX144" s="8"/>
      <c r="AY144" s="10">
        <v>1</v>
      </c>
      <c r="AZ144" s="10">
        <v>1</v>
      </c>
      <c r="BA144" s="11">
        <v>44597</v>
      </c>
      <c r="BB144" s="12">
        <f>IFERROR(VALUE(V144),0)+IFERROR(VALUE(V145),0)</f>
        <v>5295</v>
      </c>
      <c r="BC144" s="12">
        <f>IFERROR(VALUE(Z144),0)+IFERROR(VALUE(Z145),0)</f>
        <v>5030</v>
      </c>
      <c r="BD144" s="12">
        <f>IFERROR(VALUE(AI144),0)+IFERROR(VALUE(AI145),0)</f>
        <v>1095</v>
      </c>
      <c r="BE144" s="12">
        <f>IFERROR(VALUE(AG144),0)+IFERROR(VALUE(AG145),0)</f>
        <v>995</v>
      </c>
      <c r="BF144" s="8" t="str">
        <f>IF(AS144="","",AV144&amp;" | "&amp;AT144&amp;" | "&amp;AW144)</f>
        <v>AL | One Bedroom | 540</v>
      </c>
      <c r="BG144" s="8" t="s">
        <v>222</v>
      </c>
      <c r="BH144" s="8" t="s">
        <v>223</v>
      </c>
    </row>
    <row r="145" spans="1:60" ht="15" customHeight="1" x14ac:dyDescent="0.25">
      <c r="I145" t="s">
        <v>153</v>
      </c>
      <c r="N145" s="1">
        <v>44597</v>
      </c>
      <c r="R145" s="1">
        <v>44597</v>
      </c>
      <c r="V145">
        <v>0</v>
      </c>
      <c r="Z145">
        <v>0</v>
      </c>
      <c r="AG145">
        <v>995</v>
      </c>
      <c r="AI145">
        <v>0</v>
      </c>
      <c r="AK145">
        <v>0</v>
      </c>
      <c r="AN145">
        <v>0</v>
      </c>
      <c r="AQ145">
        <v>995</v>
      </c>
      <c r="AR145" s="8">
        <v>69</v>
      </c>
      <c r="AS145" s="8">
        <f>A145</f>
        <v>0</v>
      </c>
      <c r="AT145" s="8" t="s">
        <v>213</v>
      </c>
      <c r="AU145" s="8" t="s">
        <v>212</v>
      </c>
      <c r="AV145" s="8" t="s">
        <v>219</v>
      </c>
      <c r="AW145" s="9">
        <v>0</v>
      </c>
      <c r="AX145" s="8"/>
      <c r="AY145" s="10">
        <v>0</v>
      </c>
      <c r="AZ145" s="10">
        <v>0</v>
      </c>
      <c r="BA145" s="11"/>
      <c r="BB145" s="12">
        <v>0</v>
      </c>
      <c r="BC145" s="12">
        <v>0</v>
      </c>
      <c r="BD145" s="12">
        <v>0</v>
      </c>
      <c r="BE145" s="12">
        <v>0</v>
      </c>
      <c r="BF145" s="8" t="str">
        <f>IF(AS145="","",AV145&amp;" | "&amp;AT145&amp;" | "&amp;AW145)</f>
        <v>AL | One Bedroom | 0</v>
      </c>
      <c r="BG145" s="8" t="s">
        <v>222</v>
      </c>
      <c r="BH145" s="8" t="s">
        <v>223</v>
      </c>
    </row>
    <row r="146" spans="1:60" ht="15" customHeight="1" x14ac:dyDescent="0.25">
      <c r="I146" t="s">
        <v>154</v>
      </c>
      <c r="AQ146" s="2">
        <v>7120</v>
      </c>
      <c r="AR146" s="8"/>
      <c r="AS146" s="8"/>
      <c r="AT146" s="8"/>
      <c r="AU146" s="8"/>
      <c r="AV146" s="8"/>
      <c r="AW146" s="9"/>
      <c r="AX146" s="8"/>
      <c r="AY146" s="10"/>
      <c r="AZ146" s="10"/>
      <c r="BA146" s="11"/>
      <c r="BB146" s="12"/>
      <c r="BC146" s="12"/>
      <c r="BD146" s="12"/>
      <c r="BE146" s="12"/>
      <c r="BF146" s="8"/>
      <c r="BG146" s="8"/>
      <c r="BH146" s="8"/>
    </row>
    <row r="147" spans="1:60" ht="15" customHeight="1" x14ac:dyDescent="0.25">
      <c r="A147">
        <v>222</v>
      </c>
      <c r="E147" t="s">
        <v>147</v>
      </c>
      <c r="I147" t="s">
        <v>155</v>
      </c>
      <c r="N147" s="1">
        <v>45187</v>
      </c>
      <c r="R147" s="1">
        <v>45187</v>
      </c>
      <c r="V147" s="2">
        <v>5295</v>
      </c>
      <c r="Z147" s="2">
        <v>5085</v>
      </c>
      <c r="AA147">
        <v>-210</v>
      </c>
      <c r="AC147">
        <v>0</v>
      </c>
      <c r="AE147">
        <v>-210</v>
      </c>
      <c r="AG147">
        <v>0</v>
      </c>
      <c r="AI147" s="2">
        <v>1095</v>
      </c>
      <c r="AK147">
        <v>0</v>
      </c>
      <c r="AN147">
        <v>0</v>
      </c>
      <c r="AQ147" s="2">
        <v>6180</v>
      </c>
      <c r="AR147" s="8">
        <v>70</v>
      </c>
      <c r="AS147" s="8">
        <f>A147</f>
        <v>222</v>
      </c>
      <c r="AT147" s="8" t="s">
        <v>213</v>
      </c>
      <c r="AU147" s="8" t="s">
        <v>208</v>
      </c>
      <c r="AV147" s="8" t="s">
        <v>219</v>
      </c>
      <c r="AW147" s="9">
        <v>540</v>
      </c>
      <c r="AX147" s="8"/>
      <c r="AY147" s="10">
        <v>1</v>
      </c>
      <c r="AZ147" s="10">
        <v>1</v>
      </c>
      <c r="BA147" s="11">
        <v>45187</v>
      </c>
      <c r="BB147" s="12">
        <f>IFERROR(VALUE(V147),0)</f>
        <v>5295</v>
      </c>
      <c r="BC147" s="12">
        <f>IFERROR(VALUE(Z147),0)</f>
        <v>5085</v>
      </c>
      <c r="BD147" s="12">
        <f>IFERROR(VALUE(AI147),0)</f>
        <v>1095</v>
      </c>
      <c r="BE147" s="12">
        <f>IFERROR(VALUE(AG147),0)</f>
        <v>0</v>
      </c>
      <c r="BF147" s="8" t="str">
        <f>IF(AS147="","",AV147&amp;" | "&amp;AT147&amp;" | "&amp;AW147)</f>
        <v>AL | One Bedroom | 540</v>
      </c>
      <c r="BG147" s="8" t="s">
        <v>222</v>
      </c>
      <c r="BH147" s="8" t="s">
        <v>223</v>
      </c>
    </row>
    <row r="148" spans="1:60" ht="15" customHeight="1" x14ac:dyDescent="0.25">
      <c r="I148" t="s">
        <v>156</v>
      </c>
      <c r="AQ148" s="2">
        <v>6180</v>
      </c>
      <c r="AR148" s="8"/>
      <c r="AS148" s="8"/>
      <c r="AT148" s="8"/>
      <c r="AU148" s="8"/>
      <c r="AV148" s="8"/>
      <c r="AW148" s="9"/>
      <c r="AX148" s="8"/>
      <c r="AY148" s="10"/>
      <c r="AZ148" s="10"/>
      <c r="BA148" s="11"/>
      <c r="BB148" s="12"/>
      <c r="BC148" s="12"/>
      <c r="BD148" s="12"/>
      <c r="BE148" s="12"/>
      <c r="BF148" s="8"/>
      <c r="BG148" s="8"/>
      <c r="BH148" s="8"/>
    </row>
    <row r="149" spans="1:60" ht="15" customHeight="1" x14ac:dyDescent="0.25">
      <c r="A149">
        <v>223</v>
      </c>
      <c r="E149" t="s">
        <v>147</v>
      </c>
      <c r="I149" t="s">
        <v>157</v>
      </c>
      <c r="N149" s="1">
        <v>45386</v>
      </c>
      <c r="R149" s="1">
        <v>45386</v>
      </c>
      <c r="V149" s="2">
        <v>5295</v>
      </c>
      <c r="Z149" s="2">
        <v>5135</v>
      </c>
      <c r="AA149">
        <v>-160</v>
      </c>
      <c r="AC149">
        <v>0</v>
      </c>
      <c r="AE149">
        <v>-160</v>
      </c>
      <c r="AG149">
        <v>0</v>
      </c>
      <c r="AI149" s="2">
        <v>1095</v>
      </c>
      <c r="AK149">
        <v>0</v>
      </c>
      <c r="AN149">
        <v>0</v>
      </c>
      <c r="AQ149" s="2">
        <v>6230</v>
      </c>
      <c r="AR149" s="8">
        <v>71</v>
      </c>
      <c r="AS149" s="8">
        <f>A149</f>
        <v>223</v>
      </c>
      <c r="AT149" s="8" t="s">
        <v>213</v>
      </c>
      <c r="AU149" s="8" t="s">
        <v>208</v>
      </c>
      <c r="AV149" s="8" t="s">
        <v>219</v>
      </c>
      <c r="AW149" s="9">
        <v>540</v>
      </c>
      <c r="AX149" s="8"/>
      <c r="AY149" s="10">
        <v>1</v>
      </c>
      <c r="AZ149" s="10">
        <v>1</v>
      </c>
      <c r="BA149" s="11">
        <v>45386</v>
      </c>
      <c r="BB149" s="12">
        <f>IFERROR(VALUE(V149),0)</f>
        <v>5295</v>
      </c>
      <c r="BC149" s="12">
        <f>IFERROR(VALUE(Z149),0)</f>
        <v>5135</v>
      </c>
      <c r="BD149" s="12">
        <f>IFERROR(VALUE(AI149),0)</f>
        <v>1095</v>
      </c>
      <c r="BE149" s="12">
        <f>IFERROR(VALUE(AG149),0)</f>
        <v>0</v>
      </c>
      <c r="BF149" s="8" t="str">
        <f>IF(AS149="","",AV149&amp;" | "&amp;AT149&amp;" | "&amp;AW149)</f>
        <v>AL | One Bedroom | 540</v>
      </c>
      <c r="BG149" s="8" t="s">
        <v>222</v>
      </c>
      <c r="BH149" s="8" t="s">
        <v>223</v>
      </c>
    </row>
    <row r="150" spans="1:60" ht="15" customHeight="1" x14ac:dyDescent="0.25">
      <c r="I150" t="s">
        <v>158</v>
      </c>
      <c r="AQ150" s="2">
        <v>6230</v>
      </c>
      <c r="AR150" s="8"/>
      <c r="AS150" s="8"/>
      <c r="AT150" s="8"/>
      <c r="AU150" s="8"/>
      <c r="AV150" s="8"/>
      <c r="AW150" s="9"/>
      <c r="AX150" s="8"/>
      <c r="AY150" s="10"/>
      <c r="AZ150" s="10"/>
      <c r="BA150" s="11"/>
      <c r="BB150" s="12"/>
      <c r="BC150" s="12"/>
      <c r="BD150" s="12"/>
      <c r="BE150" s="12"/>
      <c r="BF150" s="8"/>
      <c r="BG150" s="8"/>
      <c r="BH150" s="8"/>
    </row>
    <row r="151" spans="1:60" ht="15" customHeight="1" x14ac:dyDescent="0.25">
      <c r="A151">
        <v>224</v>
      </c>
      <c r="E151" t="s">
        <v>147</v>
      </c>
      <c r="I151" t="s">
        <v>159</v>
      </c>
      <c r="N151" s="1">
        <v>45978</v>
      </c>
      <c r="R151" s="1">
        <v>45978</v>
      </c>
      <c r="V151" s="2">
        <v>5295</v>
      </c>
      <c r="Z151" s="2">
        <v>5190</v>
      </c>
      <c r="AA151">
        <v>-105</v>
      </c>
      <c r="AC151">
        <v>0</v>
      </c>
      <c r="AE151">
        <v>-105</v>
      </c>
      <c r="AG151">
        <v>0</v>
      </c>
      <c r="AI151" s="2">
        <v>1595</v>
      </c>
      <c r="AK151">
        <v>0</v>
      </c>
      <c r="AN151">
        <v>0</v>
      </c>
      <c r="AQ151" s="2">
        <v>6785</v>
      </c>
      <c r="AR151" s="8">
        <v>72</v>
      </c>
      <c r="AS151" s="8">
        <f>A151</f>
        <v>224</v>
      </c>
      <c r="AT151" s="8" t="s">
        <v>213</v>
      </c>
      <c r="AU151" s="8" t="s">
        <v>208</v>
      </c>
      <c r="AV151" s="8" t="s">
        <v>219</v>
      </c>
      <c r="AW151" s="9">
        <v>540</v>
      </c>
      <c r="AX151" s="8"/>
      <c r="AY151" s="10">
        <v>1</v>
      </c>
      <c r="AZ151" s="10">
        <v>1</v>
      </c>
      <c r="BA151" s="11">
        <v>45978</v>
      </c>
      <c r="BB151" s="12">
        <f>IFERROR(VALUE(V151),0)</f>
        <v>5295</v>
      </c>
      <c r="BC151" s="12">
        <f>IFERROR(VALUE(Z151),0)</f>
        <v>5190</v>
      </c>
      <c r="BD151" s="12">
        <f>IFERROR(VALUE(AI151),0)</f>
        <v>1595</v>
      </c>
      <c r="BE151" s="12">
        <f>IFERROR(VALUE(AG151),0)</f>
        <v>0</v>
      </c>
      <c r="BF151" s="8" t="str">
        <f>IF(AS151="","",AV151&amp;" | "&amp;AT151&amp;" | "&amp;AW151)</f>
        <v>AL | One Bedroom | 540</v>
      </c>
      <c r="BG151" s="8" t="s">
        <v>222</v>
      </c>
      <c r="BH151" s="8" t="s">
        <v>223</v>
      </c>
    </row>
    <row r="152" spans="1:60" ht="15" customHeight="1" x14ac:dyDescent="0.25">
      <c r="I152" t="s">
        <v>160</v>
      </c>
      <c r="AQ152" s="2">
        <v>6785</v>
      </c>
      <c r="AR152" s="8"/>
      <c r="AS152" s="8"/>
      <c r="AT152" s="8"/>
      <c r="AU152" s="8"/>
      <c r="AV152" s="8"/>
      <c r="AW152" s="9"/>
      <c r="AX152" s="8"/>
      <c r="AY152" s="10"/>
      <c r="AZ152" s="10"/>
      <c r="BA152" s="11"/>
      <c r="BB152" s="12"/>
      <c r="BC152" s="12"/>
      <c r="BD152" s="12"/>
      <c r="BE152" s="12"/>
      <c r="BF152" s="8"/>
      <c r="BG152" s="8"/>
      <c r="BH152" s="8"/>
    </row>
    <row r="153" spans="1:60" ht="15" customHeight="1" x14ac:dyDescent="0.25">
      <c r="A153">
        <v>225</v>
      </c>
      <c r="E153" t="s">
        <v>147</v>
      </c>
      <c r="I153" t="s">
        <v>30</v>
      </c>
      <c r="V153" s="2">
        <v>5295</v>
      </c>
      <c r="Z153">
        <v>0</v>
      </c>
      <c r="AA153">
        <v>0</v>
      </c>
      <c r="AC153" s="2">
        <v>5295</v>
      </c>
      <c r="AE153" s="2">
        <v>5295</v>
      </c>
      <c r="AQ153">
        <v>0</v>
      </c>
      <c r="AR153" s="8">
        <v>73</v>
      </c>
      <c r="AS153" s="8">
        <f>A153</f>
        <v>225</v>
      </c>
      <c r="AT153" s="8" t="s">
        <v>213</v>
      </c>
      <c r="AU153" s="8" t="s">
        <v>208</v>
      </c>
      <c r="AV153" s="8" t="s">
        <v>219</v>
      </c>
      <c r="AW153" s="9">
        <v>540</v>
      </c>
      <c r="AX153" s="8"/>
      <c r="AY153" s="10">
        <v>1</v>
      </c>
      <c r="AZ153" s="10">
        <v>0</v>
      </c>
      <c r="BA153" s="11"/>
      <c r="BB153" s="12">
        <f>IFERROR(VALUE(V153),0)</f>
        <v>5295</v>
      </c>
      <c r="BC153" s="12">
        <v>0</v>
      </c>
      <c r="BD153" s="12">
        <v>0</v>
      </c>
      <c r="BE153" s="12">
        <v>0</v>
      </c>
      <c r="BF153" s="8" t="str">
        <f>IF(AS153="","",AV153&amp;" | "&amp;AT153&amp;" | "&amp;AW153)</f>
        <v>AL | One Bedroom | 540</v>
      </c>
      <c r="BG153" s="8" t="s">
        <v>222</v>
      </c>
      <c r="BH153" s="8" t="s">
        <v>223</v>
      </c>
    </row>
    <row r="154" spans="1:60" ht="15" customHeight="1" x14ac:dyDescent="0.25">
      <c r="I154" t="s">
        <v>161</v>
      </c>
      <c r="AQ154">
        <v>0</v>
      </c>
      <c r="AR154" s="8"/>
      <c r="AS154" s="8"/>
      <c r="AT154" s="8"/>
      <c r="AU154" s="8"/>
      <c r="AV154" s="8"/>
      <c r="AW154" s="9"/>
      <c r="AX154" s="8"/>
      <c r="AY154" s="10"/>
      <c r="AZ154" s="10"/>
      <c r="BA154" s="11"/>
      <c r="BB154" s="12"/>
      <c r="BC154" s="12"/>
      <c r="BD154" s="12"/>
      <c r="BE154" s="12"/>
      <c r="BF154" s="8"/>
      <c r="BG154" s="8"/>
      <c r="BH154" s="8"/>
    </row>
    <row r="155" spans="1:60" ht="15" customHeight="1" x14ac:dyDescent="0.25">
      <c r="A155">
        <v>226</v>
      </c>
      <c r="E155" t="s">
        <v>147</v>
      </c>
      <c r="I155" t="s">
        <v>162</v>
      </c>
      <c r="N155" s="1">
        <v>46095</v>
      </c>
      <c r="R155" s="1">
        <v>46095</v>
      </c>
      <c r="V155" s="2">
        <v>5295</v>
      </c>
      <c r="Z155" s="2">
        <v>5240</v>
      </c>
      <c r="AA155">
        <v>-55</v>
      </c>
      <c r="AC155">
        <v>0</v>
      </c>
      <c r="AE155">
        <v>-55</v>
      </c>
      <c r="AG155">
        <v>0</v>
      </c>
      <c r="AI155" s="2">
        <v>1595</v>
      </c>
      <c r="AK155">
        <v>0</v>
      </c>
      <c r="AN155">
        <v>0</v>
      </c>
      <c r="AQ155" s="2">
        <v>6835</v>
      </c>
      <c r="AR155" s="8">
        <v>74</v>
      </c>
      <c r="AS155" s="8">
        <f>A155</f>
        <v>226</v>
      </c>
      <c r="AT155" s="8" t="s">
        <v>213</v>
      </c>
      <c r="AU155" s="8" t="s">
        <v>208</v>
      </c>
      <c r="AV155" s="8" t="s">
        <v>219</v>
      </c>
      <c r="AW155" s="9">
        <v>540</v>
      </c>
      <c r="AX155" s="8"/>
      <c r="AY155" s="10">
        <v>1</v>
      </c>
      <c r="AZ155" s="10">
        <v>1</v>
      </c>
      <c r="BA155" s="11">
        <v>46095</v>
      </c>
      <c r="BB155" s="12">
        <f>IFERROR(VALUE(V155),0)</f>
        <v>5295</v>
      </c>
      <c r="BC155" s="12">
        <f>IFERROR(VALUE(Z155),0)</f>
        <v>5240</v>
      </c>
      <c r="BD155" s="12">
        <f>IFERROR(VALUE(AI155),0)</f>
        <v>1595</v>
      </c>
      <c r="BE155" s="12">
        <f>IFERROR(VALUE(AG155),0)</f>
        <v>0</v>
      </c>
      <c r="BF155" s="8" t="str">
        <f>IF(AS155="","",AV155&amp;" | "&amp;AT155&amp;" | "&amp;AW155)</f>
        <v>AL | One Bedroom | 540</v>
      </c>
      <c r="BG155" s="8" t="s">
        <v>222</v>
      </c>
      <c r="BH155" s="8" t="s">
        <v>223</v>
      </c>
    </row>
    <row r="156" spans="1:60" ht="15" customHeight="1" x14ac:dyDescent="0.25">
      <c r="I156" t="s">
        <v>163</v>
      </c>
      <c r="AQ156" s="2">
        <v>6835</v>
      </c>
      <c r="AR156" s="8"/>
      <c r="AS156" s="8"/>
      <c r="AT156" s="8"/>
      <c r="AU156" s="8"/>
      <c r="AV156" s="8"/>
      <c r="AW156" s="9"/>
      <c r="AX156" s="8"/>
      <c r="AY156" s="10"/>
      <c r="AZ156" s="10"/>
      <c r="BA156" s="11"/>
      <c r="BB156" s="12"/>
      <c r="BC156" s="12"/>
      <c r="BD156" s="12"/>
      <c r="BE156" s="12"/>
      <c r="BF156" s="8"/>
      <c r="BG156" s="8"/>
      <c r="BH156" s="8"/>
    </row>
    <row r="157" spans="1:60" ht="15" customHeight="1" x14ac:dyDescent="0.25">
      <c r="A157">
        <v>227</v>
      </c>
      <c r="E157" t="s">
        <v>147</v>
      </c>
      <c r="I157" t="s">
        <v>164</v>
      </c>
      <c r="N157" s="1">
        <v>43481</v>
      </c>
      <c r="R157" s="1">
        <v>43481</v>
      </c>
      <c r="V157" s="2">
        <v>5295</v>
      </c>
      <c r="Z157" s="2">
        <v>4870</v>
      </c>
      <c r="AA157">
        <v>-425</v>
      </c>
      <c r="AC157">
        <v>0</v>
      </c>
      <c r="AE157">
        <v>-425</v>
      </c>
      <c r="AG157">
        <v>0</v>
      </c>
      <c r="AI157" s="2">
        <v>1595</v>
      </c>
      <c r="AK157">
        <v>0</v>
      </c>
      <c r="AN157">
        <v>0</v>
      </c>
      <c r="AQ157" s="2">
        <v>6465</v>
      </c>
      <c r="AR157" s="8">
        <v>75</v>
      </c>
      <c r="AS157" s="8">
        <f>A157</f>
        <v>227</v>
      </c>
      <c r="AT157" s="8" t="s">
        <v>213</v>
      </c>
      <c r="AU157" s="8" t="s">
        <v>208</v>
      </c>
      <c r="AV157" s="8" t="s">
        <v>219</v>
      </c>
      <c r="AW157" s="9">
        <v>540</v>
      </c>
      <c r="AX157" s="8"/>
      <c r="AY157" s="10">
        <v>1</v>
      </c>
      <c r="AZ157" s="10">
        <v>1</v>
      </c>
      <c r="BA157" s="11">
        <v>43481</v>
      </c>
      <c r="BB157" s="12">
        <f>IFERROR(VALUE(V157),0)</f>
        <v>5295</v>
      </c>
      <c r="BC157" s="12">
        <f>IFERROR(VALUE(Z157),0)</f>
        <v>4870</v>
      </c>
      <c r="BD157" s="12">
        <f>IFERROR(VALUE(AI157),0)</f>
        <v>1595</v>
      </c>
      <c r="BE157" s="12">
        <f>IFERROR(VALUE(AG157),0)</f>
        <v>0</v>
      </c>
      <c r="BF157" s="8" t="str">
        <f>IF(AS157="","",AV157&amp;" | "&amp;AT157&amp;" | "&amp;AW157)</f>
        <v>AL | One Bedroom | 540</v>
      </c>
      <c r="BG157" s="8" t="s">
        <v>222</v>
      </c>
      <c r="BH157" s="8" t="s">
        <v>223</v>
      </c>
    </row>
    <row r="158" spans="1:60" ht="15" customHeight="1" x14ac:dyDescent="0.25">
      <c r="I158" t="s">
        <v>165</v>
      </c>
      <c r="AQ158" s="2">
        <v>6465</v>
      </c>
      <c r="AR158" s="8"/>
      <c r="AS158" s="8"/>
      <c r="AT158" s="8"/>
      <c r="AU158" s="8"/>
      <c r="AV158" s="8"/>
      <c r="AW158" s="9"/>
      <c r="AX158" s="8"/>
      <c r="AY158" s="10"/>
      <c r="AZ158" s="10"/>
      <c r="BA158" s="11"/>
      <c r="BB158" s="12"/>
      <c r="BC158" s="12"/>
      <c r="BD158" s="12"/>
      <c r="BE158" s="12"/>
      <c r="BF158" s="8"/>
      <c r="BG158" s="8"/>
      <c r="BH158" s="8"/>
    </row>
    <row r="159" spans="1:60" ht="15" customHeight="1" x14ac:dyDescent="0.25">
      <c r="A159">
        <v>228</v>
      </c>
      <c r="E159" t="s">
        <v>147</v>
      </c>
      <c r="I159" t="s">
        <v>166</v>
      </c>
      <c r="N159" s="1">
        <v>46161</v>
      </c>
      <c r="R159" s="1">
        <v>46161</v>
      </c>
      <c r="V159" s="2">
        <v>5295</v>
      </c>
      <c r="Z159" s="2">
        <v>5295</v>
      </c>
      <c r="AA159">
        <v>0</v>
      </c>
      <c r="AC159">
        <v>0</v>
      </c>
      <c r="AE159">
        <v>0</v>
      </c>
      <c r="AG159">
        <v>0</v>
      </c>
      <c r="AI159" s="2">
        <v>1595</v>
      </c>
      <c r="AK159">
        <v>0</v>
      </c>
      <c r="AN159">
        <v>0</v>
      </c>
      <c r="AQ159" s="2">
        <v>6890</v>
      </c>
      <c r="AR159" s="8">
        <v>76</v>
      </c>
      <c r="AS159" s="8">
        <f>A159</f>
        <v>228</v>
      </c>
      <c r="AT159" s="8" t="s">
        <v>213</v>
      </c>
      <c r="AU159" s="8" t="s">
        <v>208</v>
      </c>
      <c r="AV159" s="8" t="s">
        <v>219</v>
      </c>
      <c r="AW159" s="9">
        <v>540</v>
      </c>
      <c r="AX159" s="8"/>
      <c r="AY159" s="10">
        <v>1</v>
      </c>
      <c r="AZ159" s="10">
        <v>1</v>
      </c>
      <c r="BA159" s="11">
        <v>46161</v>
      </c>
      <c r="BB159" s="12">
        <f>IFERROR(VALUE(V159),0)</f>
        <v>5295</v>
      </c>
      <c r="BC159" s="12">
        <f>IFERROR(VALUE(Z159),0)</f>
        <v>5295</v>
      </c>
      <c r="BD159" s="12">
        <f>IFERROR(VALUE(AI159),0)</f>
        <v>1595</v>
      </c>
      <c r="BE159" s="12">
        <f>IFERROR(VALUE(AG159),0)</f>
        <v>0</v>
      </c>
      <c r="BF159" s="8" t="str">
        <f>IF(AS159="","",AV159&amp;" | "&amp;AT159&amp;" | "&amp;AW159)</f>
        <v>AL | One Bedroom | 540</v>
      </c>
      <c r="BG159" s="8" t="s">
        <v>222</v>
      </c>
      <c r="BH159" s="8" t="s">
        <v>223</v>
      </c>
    </row>
    <row r="160" spans="1:60" ht="15" customHeight="1" x14ac:dyDescent="0.25">
      <c r="I160" t="s">
        <v>167</v>
      </c>
      <c r="AQ160" s="2">
        <v>6890</v>
      </c>
      <c r="AR160" s="8"/>
      <c r="AS160" s="8"/>
      <c r="AT160" s="8"/>
      <c r="AU160" s="8"/>
      <c r="AV160" s="8"/>
      <c r="AW160" s="9"/>
      <c r="AX160" s="8"/>
      <c r="AY160" s="10"/>
      <c r="AZ160" s="10"/>
      <c r="BA160" s="11"/>
      <c r="BB160" s="12"/>
      <c r="BC160" s="12"/>
      <c r="BD160" s="12"/>
      <c r="BE160" s="12"/>
      <c r="BF160" s="8"/>
      <c r="BG160" s="8"/>
      <c r="BH160" s="8"/>
    </row>
    <row r="161" spans="1:60" ht="15" customHeight="1" x14ac:dyDescent="0.25">
      <c r="A161">
        <v>229</v>
      </c>
      <c r="E161" t="s">
        <v>147</v>
      </c>
      <c r="I161" t="s">
        <v>168</v>
      </c>
      <c r="N161" s="1">
        <v>44270</v>
      </c>
      <c r="R161" s="1">
        <v>44270</v>
      </c>
      <c r="V161" s="2">
        <v>5295</v>
      </c>
      <c r="Z161" s="2">
        <v>4975</v>
      </c>
      <c r="AA161">
        <v>-320</v>
      </c>
      <c r="AC161">
        <v>0</v>
      </c>
      <c r="AE161">
        <v>-320</v>
      </c>
      <c r="AG161">
        <v>0</v>
      </c>
      <c r="AI161" s="2">
        <v>1595</v>
      </c>
      <c r="AK161">
        <v>0</v>
      </c>
      <c r="AN161">
        <v>0</v>
      </c>
      <c r="AQ161" s="2">
        <v>6570</v>
      </c>
      <c r="AR161" s="8">
        <v>77</v>
      </c>
      <c r="AS161" s="8">
        <f>A161</f>
        <v>229</v>
      </c>
      <c r="AT161" s="8" t="s">
        <v>213</v>
      </c>
      <c r="AU161" s="8" t="s">
        <v>208</v>
      </c>
      <c r="AV161" s="8" t="s">
        <v>219</v>
      </c>
      <c r="AW161" s="9">
        <v>540</v>
      </c>
      <c r="AX161" s="8"/>
      <c r="AY161" s="10">
        <v>1</v>
      </c>
      <c r="AZ161" s="10">
        <v>1</v>
      </c>
      <c r="BA161" s="11">
        <v>44270</v>
      </c>
      <c r="BB161" s="12">
        <f>IFERROR(VALUE(V161),0)</f>
        <v>5295</v>
      </c>
      <c r="BC161" s="12">
        <f>IFERROR(VALUE(Z161),0)</f>
        <v>4975</v>
      </c>
      <c r="BD161" s="12">
        <f>IFERROR(VALUE(AI161),0)</f>
        <v>1595</v>
      </c>
      <c r="BE161" s="12">
        <f>IFERROR(VALUE(AG161),0)</f>
        <v>0</v>
      </c>
      <c r="BF161" s="8" t="str">
        <f>IF(AS161="","",AV161&amp;" | "&amp;AT161&amp;" | "&amp;AW161)</f>
        <v>AL | One Bedroom | 540</v>
      </c>
      <c r="BG161" s="8" t="s">
        <v>222</v>
      </c>
      <c r="BH161" s="8" t="s">
        <v>223</v>
      </c>
    </row>
    <row r="162" spans="1:60" ht="15" customHeight="1" x14ac:dyDescent="0.25">
      <c r="I162" t="s">
        <v>169</v>
      </c>
      <c r="AQ162" s="2">
        <v>6570</v>
      </c>
      <c r="AR162" s="8"/>
      <c r="AS162" s="8"/>
      <c r="AT162" s="8"/>
      <c r="AU162" s="8"/>
      <c r="AV162" s="8"/>
      <c r="AW162" s="9"/>
      <c r="AX162" s="8"/>
      <c r="AY162" s="10"/>
      <c r="AZ162" s="10"/>
      <c r="BA162" s="11"/>
      <c r="BB162" s="12"/>
      <c r="BC162" s="12"/>
      <c r="BD162" s="12"/>
      <c r="BE162" s="12"/>
      <c r="BF162" s="8"/>
      <c r="BG162" s="8"/>
      <c r="BH162" s="8"/>
    </row>
    <row r="163" spans="1:60" ht="15" customHeight="1" x14ac:dyDescent="0.25">
      <c r="A163">
        <v>230</v>
      </c>
      <c r="E163" t="s">
        <v>147</v>
      </c>
      <c r="I163" t="s">
        <v>170</v>
      </c>
      <c r="N163" s="1">
        <v>44835</v>
      </c>
      <c r="R163" s="1">
        <v>44835</v>
      </c>
      <c r="V163" s="2">
        <v>5295</v>
      </c>
      <c r="Z163" s="2">
        <v>5030</v>
      </c>
      <c r="AA163">
        <v>-265</v>
      </c>
      <c r="AC163">
        <v>0</v>
      </c>
      <c r="AE163">
        <v>-265</v>
      </c>
      <c r="AG163">
        <v>0</v>
      </c>
      <c r="AI163" s="2">
        <v>1595</v>
      </c>
      <c r="AK163">
        <v>0</v>
      </c>
      <c r="AN163">
        <v>0</v>
      </c>
      <c r="AQ163" s="2">
        <v>6625</v>
      </c>
      <c r="AR163" s="8">
        <v>78</v>
      </c>
      <c r="AS163" s="8">
        <f>A163</f>
        <v>230</v>
      </c>
      <c r="AT163" s="8" t="s">
        <v>213</v>
      </c>
      <c r="AU163" s="8" t="s">
        <v>208</v>
      </c>
      <c r="AV163" s="8" t="s">
        <v>219</v>
      </c>
      <c r="AW163" s="9">
        <v>540</v>
      </c>
      <c r="AX163" s="8"/>
      <c r="AY163" s="10">
        <v>1</v>
      </c>
      <c r="AZ163" s="10">
        <v>1</v>
      </c>
      <c r="BA163" s="11">
        <v>44835</v>
      </c>
      <c r="BB163" s="12">
        <f>IFERROR(VALUE(V163),0)</f>
        <v>5295</v>
      </c>
      <c r="BC163" s="12">
        <f>IFERROR(VALUE(Z163),0)</f>
        <v>5030</v>
      </c>
      <c r="BD163" s="12">
        <f>IFERROR(VALUE(AI163),0)</f>
        <v>1595</v>
      </c>
      <c r="BE163" s="12">
        <f>IFERROR(VALUE(AG163),0)</f>
        <v>0</v>
      </c>
      <c r="BF163" s="8" t="str">
        <f>IF(AS163="","",AV163&amp;" | "&amp;AT163&amp;" | "&amp;AW163)</f>
        <v>AL | One Bedroom | 540</v>
      </c>
      <c r="BG163" s="8" t="s">
        <v>222</v>
      </c>
      <c r="BH163" s="8" t="s">
        <v>223</v>
      </c>
    </row>
    <row r="164" spans="1:60" ht="15" customHeight="1" x14ac:dyDescent="0.25">
      <c r="I164" t="s">
        <v>171</v>
      </c>
      <c r="AQ164" s="2">
        <v>6625</v>
      </c>
      <c r="AR164" s="8"/>
      <c r="AS164" s="8"/>
      <c r="AT164" s="8"/>
      <c r="AU164" s="8"/>
      <c r="AV164" s="8"/>
      <c r="AW164" s="9"/>
      <c r="AX164" s="8"/>
      <c r="AY164" s="10"/>
      <c r="AZ164" s="10"/>
      <c r="BA164" s="11"/>
      <c r="BB164" s="12"/>
      <c r="BC164" s="12"/>
      <c r="BD164" s="12"/>
      <c r="BE164" s="12"/>
      <c r="BF164" s="8"/>
      <c r="BG164" s="8"/>
      <c r="BH164" s="8"/>
    </row>
    <row r="165" spans="1:60" ht="15" customHeight="1" x14ac:dyDescent="0.25">
      <c r="I165" t="s">
        <v>172</v>
      </c>
      <c r="AQ165" s="2">
        <v>159570</v>
      </c>
      <c r="AR165" s="8"/>
      <c r="AS165" s="8"/>
      <c r="AT165" s="8"/>
      <c r="AU165" s="8"/>
      <c r="AV165" s="8"/>
      <c r="AW165" s="9"/>
      <c r="AX165" s="8"/>
      <c r="AY165" s="10"/>
      <c r="AZ165" s="10"/>
      <c r="BA165" s="11"/>
      <c r="BB165" s="12"/>
      <c r="BC165" s="12"/>
      <c r="BD165" s="12"/>
      <c r="BE165" s="12"/>
      <c r="BF165" s="8"/>
      <c r="BG165" s="8"/>
      <c r="BH165" s="8"/>
    </row>
    <row r="166" spans="1:60" ht="15" customHeight="1" x14ac:dyDescent="0.25">
      <c r="A166" t="s">
        <v>173</v>
      </c>
      <c r="AR166" s="8"/>
      <c r="AS166" s="8"/>
      <c r="AT166" s="8"/>
      <c r="AU166" s="8"/>
      <c r="AV166" s="8"/>
      <c r="AW166" s="9"/>
      <c r="AX166" s="8"/>
      <c r="AY166" s="10"/>
      <c r="AZ166" s="10"/>
      <c r="BA166" s="11"/>
      <c r="BB166" s="12"/>
      <c r="BC166" s="12"/>
      <c r="BD166" s="12"/>
      <c r="BE166" s="12"/>
      <c r="BF166" s="8"/>
      <c r="BG166" s="8"/>
      <c r="BH166" s="8"/>
    </row>
    <row r="167" spans="1:60" ht="15" customHeight="1" x14ac:dyDescent="0.25">
      <c r="A167">
        <v>301</v>
      </c>
      <c r="E167" t="s">
        <v>174</v>
      </c>
      <c r="I167" t="s">
        <v>175</v>
      </c>
      <c r="N167" s="1">
        <v>43466</v>
      </c>
      <c r="R167" s="1">
        <v>43466</v>
      </c>
      <c r="V167" s="2">
        <v>7495</v>
      </c>
      <c r="Z167" s="2">
        <v>6895</v>
      </c>
      <c r="AA167">
        <v>-600</v>
      </c>
      <c r="AC167">
        <v>0</v>
      </c>
      <c r="AE167">
        <v>-600</v>
      </c>
      <c r="AG167">
        <v>0</v>
      </c>
      <c r="AI167" s="2">
        <v>1200</v>
      </c>
      <c r="AK167">
        <v>0</v>
      </c>
      <c r="AN167">
        <v>0</v>
      </c>
      <c r="AQ167" s="2">
        <v>8095</v>
      </c>
      <c r="AR167" s="8">
        <v>79</v>
      </c>
      <c r="AS167" s="8">
        <f>A167</f>
        <v>301</v>
      </c>
      <c r="AT167" s="8" t="s">
        <v>224</v>
      </c>
      <c r="AU167" s="8" t="s">
        <v>208</v>
      </c>
      <c r="AV167" s="8" t="s">
        <v>225</v>
      </c>
      <c r="AW167" s="9">
        <v>320</v>
      </c>
      <c r="AX167" s="8"/>
      <c r="AY167" s="10">
        <v>1</v>
      </c>
      <c r="AZ167" s="10">
        <v>1</v>
      </c>
      <c r="BA167" s="11">
        <v>43466</v>
      </c>
      <c r="BB167" s="12">
        <f>IFERROR(VALUE(V167),0)</f>
        <v>7495</v>
      </c>
      <c r="BC167" s="12">
        <f>IFERROR(VALUE(Z167),0)</f>
        <v>6895</v>
      </c>
      <c r="BD167" s="12">
        <f>IFERROR(VALUE(AI167),0)</f>
        <v>1200</v>
      </c>
      <c r="BE167" s="12">
        <f>IFERROR(VALUE(AG167),0)</f>
        <v>0</v>
      </c>
      <c r="BF167" s="8" t="str">
        <f>IF(AS167="","",AV167&amp;" | "&amp;AT167&amp;" | "&amp;AW167)</f>
        <v>MC | Private | 320</v>
      </c>
      <c r="BG167" s="8" t="s">
        <v>226</v>
      </c>
      <c r="BH167" s="8" t="s">
        <v>227</v>
      </c>
    </row>
    <row r="168" spans="1:60" ht="15" customHeight="1" x14ac:dyDescent="0.25">
      <c r="I168" t="s">
        <v>176</v>
      </c>
      <c r="AQ168" s="2">
        <v>8095</v>
      </c>
      <c r="AR168" s="8"/>
      <c r="AS168" s="8"/>
      <c r="AT168" s="8"/>
      <c r="AU168" s="8"/>
      <c r="AV168" s="8"/>
      <c r="AW168" s="9"/>
      <c r="AX168" s="8"/>
      <c r="AY168" s="10"/>
      <c r="AZ168" s="10"/>
      <c r="BA168" s="11"/>
      <c r="BB168" s="12"/>
      <c r="BC168" s="12"/>
      <c r="BD168" s="12"/>
      <c r="BE168" s="12"/>
      <c r="BF168" s="8"/>
      <c r="BG168" s="8"/>
      <c r="BH168" s="8"/>
    </row>
    <row r="169" spans="1:60" ht="15" customHeight="1" x14ac:dyDescent="0.25">
      <c r="A169">
        <v>302</v>
      </c>
      <c r="E169" t="s">
        <v>174</v>
      </c>
      <c r="I169" t="s">
        <v>177</v>
      </c>
      <c r="N169" s="1">
        <v>46185</v>
      </c>
      <c r="R169" s="1">
        <v>46185</v>
      </c>
      <c r="V169" s="2">
        <v>7495</v>
      </c>
      <c r="Z169" s="2">
        <v>7495</v>
      </c>
      <c r="AA169">
        <v>0</v>
      </c>
      <c r="AC169">
        <v>0</v>
      </c>
      <c r="AE169">
        <v>0</v>
      </c>
      <c r="AG169">
        <v>0</v>
      </c>
      <c r="AI169" s="2">
        <v>1200</v>
      </c>
      <c r="AK169">
        <v>0</v>
      </c>
      <c r="AN169">
        <v>0</v>
      </c>
      <c r="AQ169" s="2">
        <v>8695</v>
      </c>
      <c r="AR169" s="8">
        <v>80</v>
      </c>
      <c r="AS169" s="8">
        <f>A169</f>
        <v>302</v>
      </c>
      <c r="AT169" s="8" t="s">
        <v>224</v>
      </c>
      <c r="AU169" s="8" t="s">
        <v>208</v>
      </c>
      <c r="AV169" s="8" t="s">
        <v>225</v>
      </c>
      <c r="AW169" s="9">
        <v>320</v>
      </c>
      <c r="AX169" s="8"/>
      <c r="AY169" s="10">
        <v>1</v>
      </c>
      <c r="AZ169" s="10">
        <v>1</v>
      </c>
      <c r="BA169" s="11">
        <v>46185</v>
      </c>
      <c r="BB169" s="12">
        <f>IFERROR(VALUE(V169),0)</f>
        <v>7495</v>
      </c>
      <c r="BC169" s="12">
        <f>IFERROR(VALUE(Z169),0)</f>
        <v>7495</v>
      </c>
      <c r="BD169" s="12">
        <f>IFERROR(VALUE(AI169),0)</f>
        <v>1200</v>
      </c>
      <c r="BE169" s="12">
        <f>IFERROR(VALUE(AG169),0)</f>
        <v>0</v>
      </c>
      <c r="BF169" s="8" t="str">
        <f>IF(AS169="","",AV169&amp;" | "&amp;AT169&amp;" | "&amp;AW169)</f>
        <v>MC | Private | 320</v>
      </c>
      <c r="BG169" s="8" t="s">
        <v>226</v>
      </c>
      <c r="BH169" s="8" t="s">
        <v>227</v>
      </c>
    </row>
    <row r="170" spans="1:60" ht="15" customHeight="1" x14ac:dyDescent="0.25">
      <c r="I170" t="s">
        <v>178</v>
      </c>
      <c r="AQ170" s="2">
        <v>8695</v>
      </c>
      <c r="AR170" s="8"/>
      <c r="AS170" s="8"/>
      <c r="AT170" s="8"/>
      <c r="AU170" s="8"/>
      <c r="AV170" s="8"/>
      <c r="AW170" s="9"/>
      <c r="AX170" s="8"/>
      <c r="AY170" s="10"/>
      <c r="AZ170" s="10"/>
      <c r="BA170" s="11"/>
      <c r="BB170" s="12"/>
      <c r="BC170" s="12"/>
      <c r="BD170" s="12"/>
      <c r="BE170" s="12"/>
      <c r="BF170" s="8"/>
      <c r="BG170" s="8"/>
      <c r="BH170" s="8"/>
    </row>
    <row r="171" spans="1:60" ht="15" customHeight="1" x14ac:dyDescent="0.25">
      <c r="A171">
        <v>303</v>
      </c>
      <c r="E171" t="s">
        <v>174</v>
      </c>
      <c r="I171" t="s">
        <v>179</v>
      </c>
      <c r="N171" s="1">
        <v>44282</v>
      </c>
      <c r="R171" s="1">
        <v>44282</v>
      </c>
      <c r="V171" s="2">
        <v>7495</v>
      </c>
      <c r="Z171" s="2">
        <v>7045</v>
      </c>
      <c r="AA171">
        <v>-450</v>
      </c>
      <c r="AC171">
        <v>0</v>
      </c>
      <c r="AE171">
        <v>-450</v>
      </c>
      <c r="AG171">
        <v>0</v>
      </c>
      <c r="AI171" s="2">
        <v>1200</v>
      </c>
      <c r="AK171">
        <v>0</v>
      </c>
      <c r="AN171">
        <v>0</v>
      </c>
      <c r="AQ171" s="2">
        <v>8245</v>
      </c>
      <c r="AR171" s="8">
        <v>81</v>
      </c>
      <c r="AS171" s="8">
        <f>A171</f>
        <v>303</v>
      </c>
      <c r="AT171" s="8" t="s">
        <v>224</v>
      </c>
      <c r="AU171" s="8" t="s">
        <v>208</v>
      </c>
      <c r="AV171" s="8" t="s">
        <v>225</v>
      </c>
      <c r="AW171" s="9">
        <v>320</v>
      </c>
      <c r="AX171" s="8"/>
      <c r="AY171" s="10">
        <v>1</v>
      </c>
      <c r="AZ171" s="10">
        <v>1</v>
      </c>
      <c r="BA171" s="11">
        <v>44282</v>
      </c>
      <c r="BB171" s="12">
        <f>IFERROR(VALUE(V171),0)</f>
        <v>7495</v>
      </c>
      <c r="BC171" s="12">
        <f>IFERROR(VALUE(Z171),0)</f>
        <v>7045</v>
      </c>
      <c r="BD171" s="12">
        <f>IFERROR(VALUE(AI171),0)</f>
        <v>1200</v>
      </c>
      <c r="BE171" s="12">
        <f>IFERROR(VALUE(AG171),0)</f>
        <v>0</v>
      </c>
      <c r="BF171" s="8" t="str">
        <f>IF(AS171="","",AV171&amp;" | "&amp;AT171&amp;" | "&amp;AW171)</f>
        <v>MC | Private | 320</v>
      </c>
      <c r="BG171" s="8" t="s">
        <v>226</v>
      </c>
      <c r="BH171" s="8" t="s">
        <v>227</v>
      </c>
    </row>
    <row r="172" spans="1:60" ht="15" customHeight="1" x14ac:dyDescent="0.25">
      <c r="I172" t="s">
        <v>180</v>
      </c>
      <c r="AQ172" s="2">
        <v>8245</v>
      </c>
      <c r="AR172" s="8"/>
      <c r="AS172" s="8"/>
      <c r="AT172" s="8"/>
      <c r="AU172" s="8"/>
      <c r="AV172" s="8"/>
      <c r="AW172" s="9"/>
      <c r="AX172" s="8"/>
      <c r="AY172" s="10"/>
      <c r="AZ172" s="10"/>
      <c r="BA172" s="11"/>
      <c r="BB172" s="12"/>
      <c r="BC172" s="12"/>
      <c r="BD172" s="12"/>
      <c r="BE172" s="12"/>
      <c r="BF172" s="8"/>
      <c r="BG172" s="8"/>
      <c r="BH172" s="8"/>
    </row>
    <row r="173" spans="1:60" ht="15" customHeight="1" x14ac:dyDescent="0.25">
      <c r="A173">
        <v>304</v>
      </c>
      <c r="E173" t="s">
        <v>174</v>
      </c>
      <c r="I173" t="s">
        <v>181</v>
      </c>
      <c r="N173" s="1">
        <v>44847</v>
      </c>
      <c r="R173" s="1">
        <v>44847</v>
      </c>
      <c r="V173" s="2">
        <v>7495</v>
      </c>
      <c r="Z173" s="2">
        <v>7120</v>
      </c>
      <c r="AA173">
        <v>-375</v>
      </c>
      <c r="AC173">
        <v>0</v>
      </c>
      <c r="AE173">
        <v>-375</v>
      </c>
      <c r="AG173">
        <v>0</v>
      </c>
      <c r="AI173" s="2">
        <v>1200</v>
      </c>
      <c r="AK173">
        <v>0</v>
      </c>
      <c r="AN173">
        <v>0</v>
      </c>
      <c r="AQ173" s="2">
        <v>8320</v>
      </c>
      <c r="AR173" s="8">
        <v>82</v>
      </c>
      <c r="AS173" s="8">
        <f>A173</f>
        <v>304</v>
      </c>
      <c r="AT173" s="8" t="s">
        <v>224</v>
      </c>
      <c r="AU173" s="8" t="s">
        <v>208</v>
      </c>
      <c r="AV173" s="8" t="s">
        <v>225</v>
      </c>
      <c r="AW173" s="9">
        <v>320</v>
      </c>
      <c r="AX173" s="8"/>
      <c r="AY173" s="10">
        <v>1</v>
      </c>
      <c r="AZ173" s="10">
        <v>1</v>
      </c>
      <c r="BA173" s="11">
        <v>44847</v>
      </c>
      <c r="BB173" s="12">
        <f>IFERROR(VALUE(V173),0)</f>
        <v>7495</v>
      </c>
      <c r="BC173" s="12">
        <f>IFERROR(VALUE(Z173),0)</f>
        <v>7120</v>
      </c>
      <c r="BD173" s="12">
        <f>IFERROR(VALUE(AI173),0)</f>
        <v>1200</v>
      </c>
      <c r="BE173" s="12">
        <f>IFERROR(VALUE(AG173),0)</f>
        <v>0</v>
      </c>
      <c r="BF173" s="8" t="str">
        <f>IF(AS173="","",AV173&amp;" | "&amp;AT173&amp;" | "&amp;AW173)</f>
        <v>MC | Private | 320</v>
      </c>
      <c r="BG173" s="8" t="s">
        <v>226</v>
      </c>
      <c r="BH173" s="8" t="s">
        <v>227</v>
      </c>
    </row>
    <row r="174" spans="1:60" ht="15" customHeight="1" x14ac:dyDescent="0.25">
      <c r="I174" t="s">
        <v>182</v>
      </c>
      <c r="AQ174" s="2">
        <v>8320</v>
      </c>
      <c r="AR174" s="8"/>
      <c r="AS174" s="8"/>
      <c r="AT174" s="8"/>
      <c r="AU174" s="8"/>
      <c r="AV174" s="8"/>
      <c r="AW174" s="9"/>
      <c r="AX174" s="8"/>
      <c r="AY174" s="10"/>
      <c r="AZ174" s="10"/>
      <c r="BA174" s="11"/>
      <c r="BB174" s="12"/>
      <c r="BC174" s="12"/>
      <c r="BD174" s="12"/>
      <c r="BE174" s="12"/>
      <c r="BF174" s="8"/>
      <c r="BG174" s="8"/>
      <c r="BH174" s="8"/>
    </row>
    <row r="175" spans="1:60" ht="15" customHeight="1" x14ac:dyDescent="0.25">
      <c r="A175">
        <v>305</v>
      </c>
      <c r="E175" t="s">
        <v>174</v>
      </c>
      <c r="I175" t="s">
        <v>183</v>
      </c>
      <c r="N175" s="1">
        <v>45072</v>
      </c>
      <c r="R175" s="1">
        <v>45072</v>
      </c>
      <c r="V175" s="2">
        <v>7495</v>
      </c>
      <c r="Z175" s="2">
        <v>7195</v>
      </c>
      <c r="AA175">
        <v>-300</v>
      </c>
      <c r="AC175">
        <v>0</v>
      </c>
      <c r="AE175">
        <v>-300</v>
      </c>
      <c r="AG175">
        <v>0</v>
      </c>
      <c r="AI175" s="2">
        <v>1200</v>
      </c>
      <c r="AK175">
        <v>0</v>
      </c>
      <c r="AN175">
        <v>0</v>
      </c>
      <c r="AQ175" s="2">
        <v>8395</v>
      </c>
      <c r="AR175" s="8">
        <v>83</v>
      </c>
      <c r="AS175" s="8">
        <f>A175</f>
        <v>305</v>
      </c>
      <c r="AT175" s="8" t="s">
        <v>224</v>
      </c>
      <c r="AU175" s="8" t="s">
        <v>208</v>
      </c>
      <c r="AV175" s="8" t="s">
        <v>225</v>
      </c>
      <c r="AW175" s="9">
        <v>320</v>
      </c>
      <c r="AX175" s="8"/>
      <c r="AY175" s="10">
        <v>1</v>
      </c>
      <c r="AZ175" s="10">
        <v>1</v>
      </c>
      <c r="BA175" s="11">
        <v>45072</v>
      </c>
      <c r="BB175" s="12">
        <f>IFERROR(VALUE(V175),0)</f>
        <v>7495</v>
      </c>
      <c r="BC175" s="12">
        <f>IFERROR(VALUE(Z175),0)</f>
        <v>7195</v>
      </c>
      <c r="BD175" s="12">
        <f>IFERROR(VALUE(AI175),0)</f>
        <v>1200</v>
      </c>
      <c r="BE175" s="12">
        <f>IFERROR(VALUE(AG175),0)</f>
        <v>0</v>
      </c>
      <c r="BF175" s="8" t="str">
        <f>IF(AS175="","",AV175&amp;" | "&amp;AT175&amp;" | "&amp;AW175)</f>
        <v>MC | Private | 320</v>
      </c>
      <c r="BG175" s="8" t="s">
        <v>226</v>
      </c>
      <c r="BH175" s="8" t="s">
        <v>227</v>
      </c>
    </row>
    <row r="176" spans="1:60" ht="15" customHeight="1" x14ac:dyDescent="0.25">
      <c r="I176" t="s">
        <v>184</v>
      </c>
      <c r="AQ176" s="2">
        <v>8395</v>
      </c>
      <c r="AR176" s="8"/>
      <c r="AS176" s="8"/>
      <c r="AT176" s="8"/>
      <c r="AU176" s="8"/>
      <c r="AV176" s="8"/>
      <c r="AW176" s="9"/>
      <c r="AX176" s="8"/>
      <c r="AY176" s="10"/>
      <c r="AZ176" s="10"/>
      <c r="BA176" s="11"/>
      <c r="BB176" s="12"/>
      <c r="BC176" s="12"/>
      <c r="BD176" s="12"/>
      <c r="BE176" s="12"/>
      <c r="BF176" s="8"/>
      <c r="BG176" s="8"/>
      <c r="BH176" s="8"/>
    </row>
    <row r="177" spans="1:60" ht="15" customHeight="1" x14ac:dyDescent="0.25">
      <c r="A177">
        <v>306</v>
      </c>
      <c r="E177" t="s">
        <v>174</v>
      </c>
      <c r="I177" t="s">
        <v>185</v>
      </c>
      <c r="N177" s="1">
        <v>45638</v>
      </c>
      <c r="R177" s="1">
        <v>45638</v>
      </c>
      <c r="V177" s="2">
        <v>7495</v>
      </c>
      <c r="Z177" s="2">
        <v>7270</v>
      </c>
      <c r="AA177">
        <v>-225</v>
      </c>
      <c r="AC177">
        <v>0</v>
      </c>
      <c r="AE177">
        <v>-225</v>
      </c>
      <c r="AG177">
        <v>0</v>
      </c>
      <c r="AI177" s="2">
        <v>1200</v>
      </c>
      <c r="AK177">
        <v>0</v>
      </c>
      <c r="AN177">
        <v>0</v>
      </c>
      <c r="AQ177" s="2">
        <v>8470</v>
      </c>
      <c r="AR177" s="8">
        <v>84</v>
      </c>
      <c r="AS177" s="8">
        <f>A177</f>
        <v>306</v>
      </c>
      <c r="AT177" s="8" t="s">
        <v>224</v>
      </c>
      <c r="AU177" s="8" t="s">
        <v>208</v>
      </c>
      <c r="AV177" s="8" t="s">
        <v>225</v>
      </c>
      <c r="AW177" s="9">
        <v>320</v>
      </c>
      <c r="AX177" s="8"/>
      <c r="AY177" s="10">
        <v>1</v>
      </c>
      <c r="AZ177" s="10">
        <v>1</v>
      </c>
      <c r="BA177" s="11">
        <v>45638</v>
      </c>
      <c r="BB177" s="12">
        <f>IFERROR(VALUE(V177),0)</f>
        <v>7495</v>
      </c>
      <c r="BC177" s="12">
        <f>IFERROR(VALUE(Z177),0)</f>
        <v>7270</v>
      </c>
      <c r="BD177" s="12">
        <f>IFERROR(VALUE(AI177),0)</f>
        <v>1200</v>
      </c>
      <c r="BE177" s="12">
        <f>IFERROR(VALUE(AG177),0)</f>
        <v>0</v>
      </c>
      <c r="BF177" s="8" t="str">
        <f>IF(AS177="","",AV177&amp;" | "&amp;AT177&amp;" | "&amp;AW177)</f>
        <v>MC | Private | 320</v>
      </c>
      <c r="BG177" s="8" t="s">
        <v>226</v>
      </c>
      <c r="BH177" s="8" t="s">
        <v>227</v>
      </c>
    </row>
    <row r="178" spans="1:60" ht="15" customHeight="1" x14ac:dyDescent="0.25">
      <c r="I178" t="s">
        <v>186</v>
      </c>
      <c r="AQ178" s="2">
        <v>8470</v>
      </c>
      <c r="AR178" s="8"/>
      <c r="AS178" s="8"/>
      <c r="AT178" s="8"/>
      <c r="AU178" s="8"/>
      <c r="AV178" s="8"/>
      <c r="AW178" s="9"/>
      <c r="AX178" s="8"/>
      <c r="AY178" s="10"/>
      <c r="AZ178" s="10"/>
      <c r="BA178" s="11"/>
      <c r="BB178" s="12"/>
      <c r="BC178" s="12"/>
      <c r="BD178" s="12"/>
      <c r="BE178" s="12"/>
      <c r="BF178" s="8"/>
      <c r="BG178" s="8"/>
      <c r="BH178" s="8"/>
    </row>
    <row r="179" spans="1:60" ht="15" customHeight="1" x14ac:dyDescent="0.25">
      <c r="A179">
        <v>307</v>
      </c>
      <c r="E179" t="s">
        <v>174</v>
      </c>
      <c r="I179" t="s">
        <v>187</v>
      </c>
      <c r="N179" s="1">
        <v>45863</v>
      </c>
      <c r="R179" s="1">
        <v>45863</v>
      </c>
      <c r="V179" s="2">
        <v>7495</v>
      </c>
      <c r="Z179" s="2">
        <v>7345</v>
      </c>
      <c r="AA179">
        <v>-150</v>
      </c>
      <c r="AC179">
        <v>0</v>
      </c>
      <c r="AE179">
        <v>-150</v>
      </c>
      <c r="AG179">
        <v>0</v>
      </c>
      <c r="AI179" s="2">
        <v>1200</v>
      </c>
      <c r="AK179">
        <v>0</v>
      </c>
      <c r="AN179">
        <v>0</v>
      </c>
      <c r="AQ179" s="2">
        <v>8545</v>
      </c>
      <c r="AR179" s="8">
        <v>85</v>
      </c>
      <c r="AS179" s="8">
        <f>A179</f>
        <v>307</v>
      </c>
      <c r="AT179" s="8" t="s">
        <v>224</v>
      </c>
      <c r="AU179" s="8" t="s">
        <v>208</v>
      </c>
      <c r="AV179" s="8" t="s">
        <v>225</v>
      </c>
      <c r="AW179" s="9">
        <v>320</v>
      </c>
      <c r="AX179" s="8"/>
      <c r="AY179" s="10">
        <v>1</v>
      </c>
      <c r="AZ179" s="10">
        <v>1</v>
      </c>
      <c r="BA179" s="11">
        <v>45863</v>
      </c>
      <c r="BB179" s="12">
        <f>IFERROR(VALUE(V179),0)</f>
        <v>7495</v>
      </c>
      <c r="BC179" s="12">
        <f>IFERROR(VALUE(Z179),0)</f>
        <v>7345</v>
      </c>
      <c r="BD179" s="12">
        <f>IFERROR(VALUE(AI179),0)</f>
        <v>1200</v>
      </c>
      <c r="BE179" s="12">
        <f>IFERROR(VALUE(AG179),0)</f>
        <v>0</v>
      </c>
      <c r="BF179" s="8" t="str">
        <f>IF(AS179="","",AV179&amp;" | "&amp;AT179&amp;" | "&amp;AW179)</f>
        <v>MC | Private | 320</v>
      </c>
      <c r="BG179" s="8" t="s">
        <v>226</v>
      </c>
      <c r="BH179" s="8" t="s">
        <v>227</v>
      </c>
    </row>
    <row r="180" spans="1:60" ht="15" customHeight="1" x14ac:dyDescent="0.25">
      <c r="I180" t="s">
        <v>188</v>
      </c>
      <c r="AQ180" s="2">
        <v>8545</v>
      </c>
      <c r="AR180" s="8"/>
      <c r="AS180" s="8"/>
      <c r="AT180" s="8"/>
      <c r="AU180" s="8"/>
      <c r="AV180" s="8"/>
      <c r="AW180" s="9"/>
      <c r="AX180" s="8"/>
      <c r="AY180" s="10"/>
      <c r="AZ180" s="10"/>
      <c r="BA180" s="11"/>
      <c r="BB180" s="12"/>
      <c r="BC180" s="12"/>
      <c r="BD180" s="12"/>
      <c r="BE180" s="12"/>
      <c r="BF180" s="8"/>
      <c r="BG180" s="8"/>
      <c r="BH180" s="8"/>
    </row>
    <row r="181" spans="1:60" ht="15" customHeight="1" x14ac:dyDescent="0.25">
      <c r="A181">
        <v>308</v>
      </c>
      <c r="E181" t="s">
        <v>174</v>
      </c>
      <c r="I181" t="s">
        <v>30</v>
      </c>
      <c r="V181" s="2">
        <v>7495</v>
      </c>
      <c r="Z181">
        <v>0</v>
      </c>
      <c r="AA181">
        <v>0</v>
      </c>
      <c r="AC181" s="2">
        <v>7495</v>
      </c>
      <c r="AE181" s="2">
        <v>7495</v>
      </c>
      <c r="AQ181">
        <v>0</v>
      </c>
      <c r="AR181" s="8">
        <v>86</v>
      </c>
      <c r="AS181" s="8">
        <f>A181</f>
        <v>308</v>
      </c>
      <c r="AT181" s="8" t="s">
        <v>224</v>
      </c>
      <c r="AU181" s="8" t="s">
        <v>208</v>
      </c>
      <c r="AV181" s="8" t="s">
        <v>225</v>
      </c>
      <c r="AW181" s="9">
        <v>320</v>
      </c>
      <c r="AX181" s="8"/>
      <c r="AY181" s="10">
        <v>1</v>
      </c>
      <c r="AZ181" s="10">
        <v>0</v>
      </c>
      <c r="BA181" s="11"/>
      <c r="BB181" s="12">
        <f>IFERROR(VALUE(V181),0)</f>
        <v>7495</v>
      </c>
      <c r="BC181" s="12">
        <v>0</v>
      </c>
      <c r="BD181" s="12">
        <v>0</v>
      </c>
      <c r="BE181" s="12">
        <v>0</v>
      </c>
      <c r="BF181" s="8" t="str">
        <f>IF(AS181="","",AV181&amp;" | "&amp;AT181&amp;" | "&amp;AW181)</f>
        <v>MC | Private | 320</v>
      </c>
      <c r="BG181" s="8" t="s">
        <v>226</v>
      </c>
      <c r="BH181" s="8" t="s">
        <v>227</v>
      </c>
    </row>
    <row r="182" spans="1:60" ht="15" customHeight="1" x14ac:dyDescent="0.25">
      <c r="I182" t="s">
        <v>189</v>
      </c>
      <c r="AQ182">
        <v>0</v>
      </c>
      <c r="AR182" s="8"/>
      <c r="AS182" s="8"/>
      <c r="AT182" s="8"/>
      <c r="AU182" s="8"/>
      <c r="AV182" s="8"/>
      <c r="AW182" s="9"/>
      <c r="AX182" s="8"/>
      <c r="AY182" s="10"/>
      <c r="AZ182" s="10"/>
      <c r="BA182" s="11"/>
      <c r="BB182" s="12"/>
      <c r="BC182" s="12"/>
      <c r="BD182" s="12"/>
      <c r="BE182" s="12"/>
      <c r="BF182" s="8"/>
      <c r="BG182" s="8"/>
      <c r="BH182" s="8"/>
    </row>
    <row r="183" spans="1:60" ht="15" customHeight="1" x14ac:dyDescent="0.25">
      <c r="A183">
        <v>309</v>
      </c>
      <c r="E183" t="s">
        <v>174</v>
      </c>
      <c r="I183" t="s">
        <v>190</v>
      </c>
      <c r="N183" s="1">
        <v>46065</v>
      </c>
      <c r="R183" s="1">
        <v>46065</v>
      </c>
      <c r="V183" s="2">
        <v>7495</v>
      </c>
      <c r="Z183" s="2">
        <v>7420</v>
      </c>
      <c r="AA183">
        <v>-75</v>
      </c>
      <c r="AC183">
        <v>0</v>
      </c>
      <c r="AE183">
        <v>-75</v>
      </c>
      <c r="AG183">
        <v>0</v>
      </c>
      <c r="AI183" s="2">
        <v>1200</v>
      </c>
      <c r="AK183">
        <v>0</v>
      </c>
      <c r="AN183">
        <v>0</v>
      </c>
      <c r="AQ183" s="2">
        <v>8620</v>
      </c>
      <c r="AR183" s="8">
        <v>87</v>
      </c>
      <c r="AS183" s="8">
        <f>A183</f>
        <v>309</v>
      </c>
      <c r="AT183" s="8" t="s">
        <v>224</v>
      </c>
      <c r="AU183" s="8" t="s">
        <v>208</v>
      </c>
      <c r="AV183" s="8" t="s">
        <v>225</v>
      </c>
      <c r="AW183" s="9">
        <v>320</v>
      </c>
      <c r="AX183" s="8"/>
      <c r="AY183" s="10">
        <v>1</v>
      </c>
      <c r="AZ183" s="10">
        <v>1</v>
      </c>
      <c r="BA183" s="11">
        <v>46065</v>
      </c>
      <c r="BB183" s="12">
        <f>IFERROR(VALUE(V183),0)</f>
        <v>7495</v>
      </c>
      <c r="BC183" s="12">
        <f>IFERROR(VALUE(Z183),0)</f>
        <v>7420</v>
      </c>
      <c r="BD183" s="12">
        <f>IFERROR(VALUE(AI183),0)</f>
        <v>1200</v>
      </c>
      <c r="BE183" s="12">
        <f>IFERROR(VALUE(AG183),0)</f>
        <v>0</v>
      </c>
      <c r="BF183" s="8" t="str">
        <f>IF(AS183="","",AV183&amp;" | "&amp;AT183&amp;" | "&amp;AW183)</f>
        <v>MC | Private | 320</v>
      </c>
      <c r="BG183" s="8" t="s">
        <v>226</v>
      </c>
      <c r="BH183" s="8" t="s">
        <v>227</v>
      </c>
    </row>
    <row r="184" spans="1:60" ht="15" customHeight="1" x14ac:dyDescent="0.25">
      <c r="I184" t="s">
        <v>191</v>
      </c>
      <c r="AQ184" s="2">
        <v>8620</v>
      </c>
      <c r="AR184" s="8"/>
      <c r="AS184" s="8"/>
      <c r="AT184" s="8"/>
      <c r="AU184" s="8"/>
      <c r="AV184" s="8"/>
      <c r="AW184" s="9"/>
      <c r="AX184" s="8"/>
      <c r="AY184" s="10"/>
      <c r="AZ184" s="10"/>
      <c r="BA184" s="11"/>
      <c r="BB184" s="12"/>
      <c r="BC184" s="12"/>
      <c r="BD184" s="12"/>
      <c r="BE184" s="12"/>
      <c r="BF184" s="8"/>
      <c r="BG184" s="8"/>
      <c r="BH184" s="8"/>
    </row>
    <row r="185" spans="1:60" ht="15" customHeight="1" x14ac:dyDescent="0.25">
      <c r="A185">
        <v>310</v>
      </c>
      <c r="E185" t="s">
        <v>174</v>
      </c>
      <c r="I185" t="s">
        <v>192</v>
      </c>
      <c r="N185" s="1">
        <v>43732</v>
      </c>
      <c r="R185" s="1">
        <v>43732</v>
      </c>
      <c r="V185" s="2">
        <v>7495</v>
      </c>
      <c r="Z185" s="2">
        <v>6895</v>
      </c>
      <c r="AA185">
        <v>-600</v>
      </c>
      <c r="AC185">
        <v>0</v>
      </c>
      <c r="AE185">
        <v>-600</v>
      </c>
      <c r="AG185">
        <v>0</v>
      </c>
      <c r="AI185" s="2">
        <v>1200</v>
      </c>
      <c r="AK185">
        <v>0</v>
      </c>
      <c r="AN185">
        <v>0</v>
      </c>
      <c r="AQ185" s="2">
        <v>8095</v>
      </c>
      <c r="AR185" s="8">
        <v>88</v>
      </c>
      <c r="AS185" s="8">
        <f>A185</f>
        <v>310</v>
      </c>
      <c r="AT185" s="8" t="s">
        <v>224</v>
      </c>
      <c r="AU185" s="8" t="s">
        <v>208</v>
      </c>
      <c r="AV185" s="8" t="s">
        <v>225</v>
      </c>
      <c r="AW185" s="9">
        <v>320</v>
      </c>
      <c r="AX185" s="8"/>
      <c r="AY185" s="10">
        <v>1</v>
      </c>
      <c r="AZ185" s="10">
        <v>1</v>
      </c>
      <c r="BA185" s="11">
        <v>43732</v>
      </c>
      <c r="BB185" s="12">
        <f>IFERROR(VALUE(V185),0)</f>
        <v>7495</v>
      </c>
      <c r="BC185" s="12">
        <f>IFERROR(VALUE(Z185),0)</f>
        <v>6895</v>
      </c>
      <c r="BD185" s="12">
        <f>IFERROR(VALUE(AI185),0)</f>
        <v>1200</v>
      </c>
      <c r="BE185" s="12">
        <f>IFERROR(VALUE(AG185),0)</f>
        <v>0</v>
      </c>
      <c r="BF185" s="8" t="str">
        <f>IF(AS185="","",AV185&amp;" | "&amp;AT185&amp;" | "&amp;AW185)</f>
        <v>MC | Private | 320</v>
      </c>
      <c r="BG185" s="8" t="s">
        <v>226</v>
      </c>
      <c r="BH185" s="8" t="s">
        <v>227</v>
      </c>
    </row>
    <row r="186" spans="1:60" ht="15" customHeight="1" x14ac:dyDescent="0.25">
      <c r="I186" t="s">
        <v>193</v>
      </c>
      <c r="AQ186" s="2">
        <v>8095</v>
      </c>
      <c r="AR186" s="8"/>
      <c r="AS186" s="8"/>
      <c r="AT186" s="8"/>
      <c r="AU186" s="8"/>
      <c r="AV186" s="8"/>
      <c r="AW186" s="9"/>
      <c r="AX186" s="8"/>
      <c r="AY186" s="10"/>
      <c r="AZ186" s="10"/>
      <c r="BA186" s="11"/>
      <c r="BB186" s="12"/>
      <c r="BC186" s="12"/>
      <c r="BD186" s="12"/>
      <c r="BE186" s="12"/>
      <c r="BF186" s="8"/>
      <c r="BG186" s="8"/>
      <c r="BH186" s="8"/>
    </row>
    <row r="187" spans="1:60" ht="15" customHeight="1" x14ac:dyDescent="0.25">
      <c r="A187">
        <v>311</v>
      </c>
      <c r="E187" t="s">
        <v>174</v>
      </c>
      <c r="I187" t="s">
        <v>194</v>
      </c>
      <c r="N187" s="1">
        <v>43931</v>
      </c>
      <c r="R187" s="1">
        <v>43931</v>
      </c>
      <c r="V187" s="2">
        <v>7495</v>
      </c>
      <c r="Z187" s="2">
        <v>6970</v>
      </c>
      <c r="AA187">
        <v>-525</v>
      </c>
      <c r="AC187">
        <v>0</v>
      </c>
      <c r="AE187">
        <v>-525</v>
      </c>
      <c r="AG187">
        <v>0</v>
      </c>
      <c r="AI187" s="2">
        <v>1200</v>
      </c>
      <c r="AK187">
        <v>0</v>
      </c>
      <c r="AN187">
        <v>0</v>
      </c>
      <c r="AQ187" s="2">
        <v>8170</v>
      </c>
      <c r="AR187" s="8">
        <v>89</v>
      </c>
      <c r="AS187" s="8">
        <f>A187</f>
        <v>311</v>
      </c>
      <c r="AT187" s="8" t="s">
        <v>224</v>
      </c>
      <c r="AU187" s="8" t="s">
        <v>208</v>
      </c>
      <c r="AV187" s="8" t="s">
        <v>225</v>
      </c>
      <c r="AW187" s="9">
        <v>320</v>
      </c>
      <c r="AX187" s="8"/>
      <c r="AY187" s="10">
        <v>1</v>
      </c>
      <c r="AZ187" s="10">
        <v>1</v>
      </c>
      <c r="BA187" s="11">
        <v>43931</v>
      </c>
      <c r="BB187" s="12">
        <f>IFERROR(VALUE(V187),0)</f>
        <v>7495</v>
      </c>
      <c r="BC187" s="12">
        <f>IFERROR(VALUE(Z187),0)</f>
        <v>6970</v>
      </c>
      <c r="BD187" s="12">
        <f>IFERROR(VALUE(AI187),0)</f>
        <v>1200</v>
      </c>
      <c r="BE187" s="12">
        <f>IFERROR(VALUE(AG187),0)</f>
        <v>0</v>
      </c>
      <c r="BF187" s="8" t="str">
        <f>IF(AS187="","",AV187&amp;" | "&amp;AT187&amp;" | "&amp;AW187)</f>
        <v>MC | Private | 320</v>
      </c>
      <c r="BG187" s="8" t="s">
        <v>226</v>
      </c>
      <c r="BH187" s="8" t="s">
        <v>227</v>
      </c>
    </row>
    <row r="188" spans="1:60" ht="15" customHeight="1" x14ac:dyDescent="0.25">
      <c r="I188" t="s">
        <v>195</v>
      </c>
      <c r="AQ188" s="2">
        <v>8170</v>
      </c>
      <c r="AR188" s="8"/>
      <c r="AS188" s="8"/>
      <c r="AT188" s="8"/>
      <c r="AU188" s="8"/>
      <c r="AV188" s="8"/>
      <c r="AW188" s="9"/>
      <c r="AX188" s="8"/>
      <c r="AY188" s="10"/>
      <c r="AZ188" s="10"/>
      <c r="BA188" s="11"/>
      <c r="BB188" s="12"/>
      <c r="BC188" s="12"/>
      <c r="BD188" s="12"/>
      <c r="BE188" s="12"/>
      <c r="BF188" s="8"/>
      <c r="BG188" s="8"/>
      <c r="BH188" s="8"/>
    </row>
    <row r="189" spans="1:60" ht="15" customHeight="1" x14ac:dyDescent="0.25">
      <c r="A189">
        <v>312</v>
      </c>
      <c r="E189" t="s">
        <v>174</v>
      </c>
      <c r="I189" t="s">
        <v>196</v>
      </c>
      <c r="N189" s="1">
        <v>44523</v>
      </c>
      <c r="R189" s="1">
        <v>44523</v>
      </c>
      <c r="V189" s="2">
        <v>7495</v>
      </c>
      <c r="Z189" s="2">
        <v>7045</v>
      </c>
      <c r="AA189">
        <v>-450</v>
      </c>
      <c r="AC189">
        <v>0</v>
      </c>
      <c r="AE189">
        <v>-450</v>
      </c>
      <c r="AG189">
        <v>0</v>
      </c>
      <c r="AI189" s="2">
        <v>1200</v>
      </c>
      <c r="AK189">
        <v>0</v>
      </c>
      <c r="AN189">
        <v>0</v>
      </c>
      <c r="AQ189" s="2">
        <v>8245</v>
      </c>
      <c r="AR189" s="8">
        <v>90</v>
      </c>
      <c r="AS189" s="8">
        <f>A189</f>
        <v>312</v>
      </c>
      <c r="AT189" s="8" t="s">
        <v>224</v>
      </c>
      <c r="AU189" s="8" t="s">
        <v>208</v>
      </c>
      <c r="AV189" s="8" t="s">
        <v>225</v>
      </c>
      <c r="AW189" s="9">
        <v>320</v>
      </c>
      <c r="AX189" s="8"/>
      <c r="AY189" s="10">
        <v>1</v>
      </c>
      <c r="AZ189" s="10">
        <v>1</v>
      </c>
      <c r="BA189" s="11">
        <v>44523</v>
      </c>
      <c r="BB189" s="12">
        <f>IFERROR(VALUE(V189),0)</f>
        <v>7495</v>
      </c>
      <c r="BC189" s="12">
        <f>IFERROR(VALUE(Z189),0)</f>
        <v>7045</v>
      </c>
      <c r="BD189" s="12">
        <f>IFERROR(VALUE(AI189),0)</f>
        <v>1200</v>
      </c>
      <c r="BE189" s="12">
        <f>IFERROR(VALUE(AG189),0)</f>
        <v>0</v>
      </c>
      <c r="BF189" s="8" t="str">
        <f>IF(AS189="","",AV189&amp;" | "&amp;AT189&amp;" | "&amp;AW189)</f>
        <v>MC | Private | 320</v>
      </c>
      <c r="BG189" s="8" t="s">
        <v>226</v>
      </c>
      <c r="BH189" s="8" t="s">
        <v>227</v>
      </c>
    </row>
    <row r="190" spans="1:60" ht="15" customHeight="1" x14ac:dyDescent="0.25">
      <c r="I190" t="s">
        <v>197</v>
      </c>
      <c r="AQ190" s="2">
        <v>8245</v>
      </c>
      <c r="AR190" s="8"/>
      <c r="AS190" s="8"/>
      <c r="AT190" s="8"/>
      <c r="AU190" s="8"/>
      <c r="AV190" s="8"/>
      <c r="AW190" s="9"/>
      <c r="AX190" s="8"/>
      <c r="AY190" s="10"/>
      <c r="AZ190" s="10"/>
      <c r="BA190" s="11"/>
      <c r="BB190" s="12"/>
      <c r="BC190" s="12"/>
      <c r="BD190" s="12"/>
      <c r="BE190" s="12"/>
      <c r="BF190" s="8"/>
      <c r="BG190" s="8"/>
      <c r="BH190" s="8"/>
    </row>
    <row r="191" spans="1:60" ht="15" customHeight="1" x14ac:dyDescent="0.25">
      <c r="A191">
        <v>313</v>
      </c>
      <c r="E191" t="s">
        <v>198</v>
      </c>
      <c r="I191" t="s">
        <v>199</v>
      </c>
      <c r="N191" s="1">
        <v>44721</v>
      </c>
      <c r="R191" s="1">
        <v>44721</v>
      </c>
      <c r="V191" s="2">
        <v>5995</v>
      </c>
      <c r="Z191" s="2">
        <v>5695</v>
      </c>
      <c r="AA191">
        <v>-300</v>
      </c>
      <c r="AC191">
        <v>0</v>
      </c>
      <c r="AE191">
        <v>-300</v>
      </c>
      <c r="AG191">
        <v>0</v>
      </c>
      <c r="AI191" s="2">
        <v>1200</v>
      </c>
      <c r="AK191">
        <v>0</v>
      </c>
      <c r="AN191">
        <v>0</v>
      </c>
      <c r="AQ191" s="2">
        <v>6895</v>
      </c>
      <c r="AR191" s="8">
        <v>91</v>
      </c>
      <c r="AS191" s="8">
        <f>A191</f>
        <v>313</v>
      </c>
      <c r="AT191" s="8" t="s">
        <v>228</v>
      </c>
      <c r="AU191" s="8" t="s">
        <v>208</v>
      </c>
      <c r="AV191" s="8" t="s">
        <v>225</v>
      </c>
      <c r="AW191" s="9">
        <v>400</v>
      </c>
      <c r="AX191" s="8"/>
      <c r="AY191" s="10">
        <v>1</v>
      </c>
      <c r="AZ191" s="10">
        <v>1</v>
      </c>
      <c r="BA191" s="11">
        <v>44721</v>
      </c>
      <c r="BB191" s="12">
        <f>IFERROR(VALUE(V191),0)</f>
        <v>5995</v>
      </c>
      <c r="BC191" s="12">
        <f>IFERROR(VALUE(Z191),0)</f>
        <v>5695</v>
      </c>
      <c r="BD191" s="12">
        <f>IFERROR(VALUE(AI191),0)</f>
        <v>1200</v>
      </c>
      <c r="BE191" s="12">
        <f>IFERROR(VALUE(AG191),0)</f>
        <v>0</v>
      </c>
      <c r="BF191" s="8" t="str">
        <f>IF(AS191="","",AV191&amp;" | "&amp;AT191&amp;" | "&amp;AW191)</f>
        <v>MC | Semi-Private | 400</v>
      </c>
      <c r="BG191" s="8" t="s">
        <v>229</v>
      </c>
      <c r="BH191" s="8" t="s">
        <v>230</v>
      </c>
    </row>
    <row r="192" spans="1:60" ht="15" customHeight="1" x14ac:dyDescent="0.25">
      <c r="A192">
        <v>313</v>
      </c>
      <c r="I192" t="s">
        <v>200</v>
      </c>
      <c r="N192" s="1">
        <v>44721</v>
      </c>
      <c r="R192" s="1">
        <v>44721</v>
      </c>
      <c r="V192" s="2">
        <v>5995</v>
      </c>
      <c r="Z192" s="2">
        <v>5695</v>
      </c>
      <c r="AA192">
        <v>-300</v>
      </c>
      <c r="AE192">
        <v>-300</v>
      </c>
      <c r="AG192">
        <v>0</v>
      </c>
      <c r="AI192" s="2">
        <v>1200</v>
      </c>
      <c r="AK192">
        <v>0</v>
      </c>
      <c r="AN192">
        <v>0</v>
      </c>
      <c r="AQ192" s="2">
        <v>6895</v>
      </c>
      <c r="AR192" s="8">
        <v>92</v>
      </c>
      <c r="AS192" s="8">
        <f>A192</f>
        <v>313</v>
      </c>
      <c r="AT192" s="8" t="s">
        <v>228</v>
      </c>
      <c r="AU192" s="8" t="s">
        <v>208</v>
      </c>
      <c r="AV192" s="8" t="s">
        <v>225</v>
      </c>
      <c r="AW192" s="9">
        <v>400</v>
      </c>
      <c r="AX192" s="8"/>
      <c r="AY192" s="10">
        <v>1</v>
      </c>
      <c r="AZ192" s="10">
        <v>1</v>
      </c>
      <c r="BA192" s="11">
        <v>44721</v>
      </c>
      <c r="BB192" s="12">
        <f>IFERROR(VALUE(V192),0)</f>
        <v>5995</v>
      </c>
      <c r="BC192" s="12">
        <f>IFERROR(VALUE(Z192),0)</f>
        <v>5695</v>
      </c>
      <c r="BD192" s="12">
        <f>IFERROR(VALUE(AI192),0)</f>
        <v>1200</v>
      </c>
      <c r="BE192" s="12">
        <f>IFERROR(VALUE(AG192),0)</f>
        <v>0</v>
      </c>
      <c r="BF192" s="8" t="str">
        <f>IF(AS192="","",AV192&amp;" | "&amp;AT192&amp;" | "&amp;AW192)</f>
        <v>MC | Semi-Private | 400</v>
      </c>
      <c r="BG192" s="8" t="s">
        <v>229</v>
      </c>
      <c r="BH192" s="8" t="s">
        <v>230</v>
      </c>
    </row>
    <row r="193" spans="1:60" ht="15" customHeight="1" x14ac:dyDescent="0.25">
      <c r="I193" t="s">
        <v>201</v>
      </c>
      <c r="AQ193" s="2">
        <v>13790</v>
      </c>
      <c r="AR193" s="8"/>
      <c r="AS193" s="8"/>
      <c r="AT193" s="8"/>
      <c r="AU193" s="8"/>
      <c r="AV193" s="8"/>
      <c r="AW193" s="9"/>
      <c r="AX193" s="8"/>
      <c r="AY193" s="10"/>
      <c r="AZ193" s="10"/>
      <c r="BA193" s="11"/>
      <c r="BB193" s="12"/>
      <c r="BC193" s="12"/>
      <c r="BD193" s="12"/>
      <c r="BE193" s="12"/>
      <c r="BF193" s="8"/>
      <c r="BG193" s="8"/>
      <c r="BH193" s="8"/>
    </row>
    <row r="194" spans="1:60" ht="15" customHeight="1" x14ac:dyDescent="0.25">
      <c r="A194">
        <v>314</v>
      </c>
      <c r="E194" t="s">
        <v>198</v>
      </c>
      <c r="I194" t="s">
        <v>202</v>
      </c>
      <c r="N194" s="1">
        <v>44948</v>
      </c>
      <c r="R194" s="1">
        <v>44948</v>
      </c>
      <c r="V194" s="2">
        <v>5995</v>
      </c>
      <c r="Z194" s="2">
        <v>5755</v>
      </c>
      <c r="AA194">
        <v>-240</v>
      </c>
      <c r="AC194">
        <v>0</v>
      </c>
      <c r="AE194">
        <v>-240</v>
      </c>
      <c r="AG194">
        <v>0</v>
      </c>
      <c r="AI194" s="2">
        <v>1200</v>
      </c>
      <c r="AK194">
        <v>0</v>
      </c>
      <c r="AN194">
        <v>0</v>
      </c>
      <c r="AQ194" s="2">
        <v>6955</v>
      </c>
      <c r="AR194" s="8">
        <v>93</v>
      </c>
      <c r="AS194" s="8">
        <f>A194</f>
        <v>314</v>
      </c>
      <c r="AT194" s="8" t="s">
        <v>228</v>
      </c>
      <c r="AU194" s="8" t="s">
        <v>208</v>
      </c>
      <c r="AV194" s="8" t="s">
        <v>225</v>
      </c>
      <c r="AW194" s="9">
        <v>400</v>
      </c>
      <c r="AX194" s="8"/>
      <c r="AY194" s="10">
        <v>1</v>
      </c>
      <c r="AZ194" s="10">
        <v>1</v>
      </c>
      <c r="BA194" s="11">
        <v>44948</v>
      </c>
      <c r="BB194" s="12">
        <f>IFERROR(VALUE(V194),0)</f>
        <v>5995</v>
      </c>
      <c r="BC194" s="12">
        <f>IFERROR(VALUE(Z194),0)</f>
        <v>5755</v>
      </c>
      <c r="BD194" s="12">
        <f>IFERROR(VALUE(AI194),0)</f>
        <v>1200</v>
      </c>
      <c r="BE194" s="12">
        <f>IFERROR(VALUE(AG194),0)</f>
        <v>0</v>
      </c>
      <c r="BF194" s="8" t="str">
        <f>IF(AS194="","",AV194&amp;" | "&amp;AT194&amp;" | "&amp;AW194)</f>
        <v>MC | Semi-Private | 400</v>
      </c>
      <c r="BG194" s="8" t="s">
        <v>229</v>
      </c>
      <c r="BH194" s="8" t="s">
        <v>230</v>
      </c>
    </row>
    <row r="195" spans="1:60" ht="15" customHeight="1" x14ac:dyDescent="0.25">
      <c r="A195">
        <v>314</v>
      </c>
      <c r="I195" t="s">
        <v>203</v>
      </c>
      <c r="N195" s="1">
        <v>44948</v>
      </c>
      <c r="R195" s="1">
        <v>44948</v>
      </c>
      <c r="V195" s="2">
        <v>5995</v>
      </c>
      <c r="Z195" s="2">
        <v>5755</v>
      </c>
      <c r="AA195">
        <v>-240</v>
      </c>
      <c r="AE195">
        <v>-240</v>
      </c>
      <c r="AG195">
        <v>0</v>
      </c>
      <c r="AI195" s="2">
        <v>1200</v>
      </c>
      <c r="AK195">
        <v>0</v>
      </c>
      <c r="AN195">
        <v>0</v>
      </c>
      <c r="AQ195" s="2">
        <v>6955</v>
      </c>
      <c r="AR195" s="8">
        <v>94</v>
      </c>
      <c r="AS195" s="8">
        <f>A195</f>
        <v>314</v>
      </c>
      <c r="AT195" s="8" t="s">
        <v>228</v>
      </c>
      <c r="AU195" s="8" t="s">
        <v>208</v>
      </c>
      <c r="AV195" s="8" t="s">
        <v>225</v>
      </c>
      <c r="AW195" s="9">
        <v>400</v>
      </c>
      <c r="AX195" s="8"/>
      <c r="AY195" s="10">
        <v>1</v>
      </c>
      <c r="AZ195" s="10">
        <v>1</v>
      </c>
      <c r="BA195" s="11">
        <v>44948</v>
      </c>
      <c r="BB195" s="12">
        <f>IFERROR(VALUE(V195),0)</f>
        <v>5995</v>
      </c>
      <c r="BC195" s="12">
        <f>IFERROR(VALUE(Z195),0)</f>
        <v>5755</v>
      </c>
      <c r="BD195" s="12">
        <f>IFERROR(VALUE(AI195),0)</f>
        <v>1200</v>
      </c>
      <c r="BE195" s="12">
        <f>IFERROR(VALUE(AG195),0)</f>
        <v>0</v>
      </c>
      <c r="BF195" s="8" t="str">
        <f>IF(AS195="","",AV195&amp;" | "&amp;AT195&amp;" | "&amp;AW195)</f>
        <v>MC | Semi-Private | 400</v>
      </c>
      <c r="BG195" s="8" t="s">
        <v>229</v>
      </c>
      <c r="BH195" s="8" t="s">
        <v>230</v>
      </c>
    </row>
    <row r="196" spans="1:60" x14ac:dyDescent="0.25">
      <c r="I196" t="s">
        <v>204</v>
      </c>
      <c r="AQ196" s="2">
        <v>13910</v>
      </c>
    </row>
    <row r="197" spans="1:60" x14ac:dyDescent="0.25">
      <c r="I197" t="s">
        <v>205</v>
      </c>
      <c r="AQ197" s="2">
        <v>119595</v>
      </c>
    </row>
    <row r="198" spans="1:60" x14ac:dyDescent="0.25">
      <c r="I198" t="s">
        <v>206</v>
      </c>
      <c r="AQ198" s="2">
        <v>424675</v>
      </c>
    </row>
    <row r="201" spans="1:60" x14ac:dyDescent="0.25">
      <c r="AR201" s="3" t="s">
        <v>296</v>
      </c>
    </row>
    <row r="202" spans="1:60" x14ac:dyDescent="0.25">
      <c r="AR202" s="3"/>
      <c r="AV202" t="s">
        <v>297</v>
      </c>
      <c r="AW202" t="s">
        <v>298</v>
      </c>
      <c r="AX202" t="s">
        <v>299</v>
      </c>
    </row>
    <row r="203" spans="1:60" x14ac:dyDescent="0.25">
      <c r="AR203" t="s">
        <v>300</v>
      </c>
      <c r="AV203">
        <f>COUNT($AR$15:$AR$195)</f>
        <v>94</v>
      </c>
    </row>
    <row r="204" spans="1:60" x14ac:dyDescent="0.25">
      <c r="AR204" t="s">
        <v>301</v>
      </c>
      <c r="AV204" s="7">
        <f>SUM($AZ$15:$AZ$195)</f>
        <v>80</v>
      </c>
    </row>
    <row r="205" spans="1:60" x14ac:dyDescent="0.25">
      <c r="AR205" t="s">
        <v>302</v>
      </c>
      <c r="AV205" s="7">
        <f>SUM($AY$15:$AY$195)</f>
        <v>86</v>
      </c>
    </row>
    <row r="206" spans="1:60" x14ac:dyDescent="0.25">
      <c r="AR206" t="s">
        <v>303</v>
      </c>
      <c r="AV206" s="2">
        <f>SUM($BB$15:$BB$195)</f>
        <v>417370</v>
      </c>
      <c r="AW206" s="2">
        <v>417370</v>
      </c>
      <c r="AX206" s="2">
        <f>AV206-AW206</f>
        <v>0</v>
      </c>
    </row>
    <row r="207" spans="1:60" x14ac:dyDescent="0.25">
      <c r="AR207" t="s">
        <v>304</v>
      </c>
      <c r="AV207" s="2">
        <f>SUM($BC$15:$BC$195)</f>
        <v>371055</v>
      </c>
      <c r="AW207" s="2">
        <v>371055</v>
      </c>
      <c r="AX207" s="2">
        <f>AV207-AW207</f>
        <v>0</v>
      </c>
    </row>
    <row r="208" spans="1:60" x14ac:dyDescent="0.25">
      <c r="AR208" t="s">
        <v>305</v>
      </c>
      <c r="AV208" s="2">
        <f>SUM($BD$15:$BD$195)</f>
        <v>45660</v>
      </c>
      <c r="AW208" s="2">
        <v>45660</v>
      </c>
      <c r="AX208" s="2">
        <f>AV208-AW208</f>
        <v>0</v>
      </c>
    </row>
    <row r="209" spans="44:50" x14ac:dyDescent="0.25">
      <c r="AR209" t="s">
        <v>306</v>
      </c>
      <c r="AV209" s="2">
        <f>SUM($BE$15:$BE$195)</f>
        <v>7960</v>
      </c>
      <c r="AW209" s="2">
        <v>7960</v>
      </c>
      <c r="AX209" s="2">
        <f>AV209-AW209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Aster Ridge.RR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Morris</dc:creator>
  <cp:lastModifiedBy>Ryan Morris</cp:lastModifiedBy>
  <dcterms:created xsi:type="dcterms:W3CDTF">2026-07-29T22:59:28Z</dcterms:created>
  <dcterms:modified xsi:type="dcterms:W3CDTF">2026-07-30T00:09:50Z</dcterms:modified>
</cp:coreProperties>
</file>